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pivotTables/pivotTable2.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ml.chartshapes+xml"/>
  <Override PartName="/xl/pivotTables/pivotTable3.xml" ContentType="application/vnd.openxmlformats-officedocument.spreadsheetml.pivotTable+xml"/>
  <Override PartName="/xl/drawings/drawing6.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7.xml" ContentType="application/vnd.openxmlformats-officedocument.drawingml.chartshapes+xml"/>
  <Override PartName="/xl/pivotTables/pivotTable4.xml" ContentType="application/vnd.openxmlformats-officedocument.spreadsheetml.pivotTable+xml"/>
  <Override PartName="/xl/drawings/drawing8.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9.xml" ContentType="application/vnd.openxmlformats-officedocument.drawingml.chartshapes+xml"/>
  <Override PartName="/xl/pivotTables/pivotTable5.xml" ContentType="application/vnd.openxmlformats-officedocument.spreadsheetml.pivotTable+xml"/>
  <Override PartName="/xl/drawings/drawing10.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1.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2.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3.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5.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d5f1797129917f0c/Desktop/NIIT Course/Data Storytelling and Visualization Course 1/Project - Dashboard/"/>
    </mc:Choice>
  </mc:AlternateContent>
  <xr:revisionPtr revIDLastSave="13" documentId="11_CDA776EE5475BCCEEB3B98154B5DCE3A07443699" xr6:coauthVersionLast="47" xr6:coauthVersionMax="47" xr10:uidLastSave="{0D0FAC7F-C64A-447A-8CE5-963CEAFFF7C7}"/>
  <bookViews>
    <workbookView xWindow="-108" yWindow="-108" windowWidth="23256" windowHeight="12456" activeTab="5" xr2:uid="{00000000-000D-0000-FFFF-FFFF00000000}"/>
  </bookViews>
  <sheets>
    <sheet name="Raw Data" sheetId="1" r:id="rId1"/>
    <sheet name="Gender Chart" sheetId="3" r:id="rId2"/>
    <sheet name="Product Chart" sheetId="5" r:id="rId3"/>
    <sheet name="Month Chart" sheetId="6" r:id="rId4"/>
    <sheet name="Region Chart" sheetId="7" r:id="rId5"/>
    <sheet name="Quantity Chart" sheetId="8" r:id="rId6"/>
    <sheet name="Dashboard" sheetId="4" r:id="rId7"/>
  </sheets>
  <definedNames>
    <definedName name="Slicer_Product">#N/A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3" i="1" l="1"/>
  <c r="M23" i="1"/>
  <c r="O23" i="1"/>
  <c r="P23" i="1"/>
</calcChain>
</file>

<file path=xl/sharedStrings.xml><?xml version="1.0" encoding="utf-8"?>
<sst xmlns="http://schemas.openxmlformats.org/spreadsheetml/2006/main" count="2155" uniqueCount="251">
  <si>
    <t>Order_ID</t>
  </si>
  <si>
    <t>Date</t>
  </si>
  <si>
    <t>Product</t>
  </si>
  <si>
    <t>Category</t>
  </si>
  <si>
    <t>Region</t>
  </si>
  <si>
    <t>Customer_Gender</t>
  </si>
  <si>
    <t>Quantity</t>
  </si>
  <si>
    <t>Sales</t>
  </si>
  <si>
    <t>2023-04-28</t>
  </si>
  <si>
    <t>Laptop</t>
  </si>
  <si>
    <t>Electronics</t>
  </si>
  <si>
    <t>North</t>
  </si>
  <si>
    <t>Male</t>
  </si>
  <si>
    <t>2023-12-04</t>
  </si>
  <si>
    <t>Backpack</t>
  </si>
  <si>
    <t>Accessories</t>
  </si>
  <si>
    <t>Female</t>
  </si>
  <si>
    <t>2023-02-16</t>
  </si>
  <si>
    <t>T-Shirt</t>
  </si>
  <si>
    <t>Fashion</t>
  </si>
  <si>
    <t>2023-03-29</t>
  </si>
  <si>
    <t>Headphones</t>
  </si>
  <si>
    <t>West</t>
  </si>
  <si>
    <t>2023-09-14</t>
  </si>
  <si>
    <t>Phone</t>
  </si>
  <si>
    <t>2023-04-05</t>
  </si>
  <si>
    <t>2023-10-25</t>
  </si>
  <si>
    <t>2023-02-26</t>
  </si>
  <si>
    <t>East</t>
  </si>
  <si>
    <t>2023-10-13</t>
  </si>
  <si>
    <t>Watch</t>
  </si>
  <si>
    <t>South</t>
  </si>
  <si>
    <t>2023-09-15</t>
  </si>
  <si>
    <t>2023-05-07</t>
  </si>
  <si>
    <t>2023-06-20</t>
  </si>
  <si>
    <t>2023-07-31</t>
  </si>
  <si>
    <t>2023-04-16</t>
  </si>
  <si>
    <t>2023-08-13</t>
  </si>
  <si>
    <t>2023-02-23</t>
  </si>
  <si>
    <t>Shoes</t>
  </si>
  <si>
    <t>2023-07-10</t>
  </si>
  <si>
    <t>2023-06-17</t>
  </si>
  <si>
    <t>2023-07-14</t>
  </si>
  <si>
    <t>2023-09-24</t>
  </si>
  <si>
    <t>2023-06-11</t>
  </si>
  <si>
    <t>2023-11-20</t>
  </si>
  <si>
    <t>2023-05-15</t>
  </si>
  <si>
    <t>2023-08-03</t>
  </si>
  <si>
    <t>2023-03-08</t>
  </si>
  <si>
    <t>2023-10-20</t>
  </si>
  <si>
    <t>2023-03-18</t>
  </si>
  <si>
    <t>2023-12-25</t>
  </si>
  <si>
    <t>2023-09-11</t>
  </si>
  <si>
    <t>2023-08-08</t>
  </si>
  <si>
    <t>2023-06-13</t>
  </si>
  <si>
    <t>2023-01-15</t>
  </si>
  <si>
    <t>2023-06-26</t>
  </si>
  <si>
    <t>2023-01-01</t>
  </si>
  <si>
    <t>2023-10-06</t>
  </si>
  <si>
    <t>2023-09-25</t>
  </si>
  <si>
    <t>2023-07-02</t>
  </si>
  <si>
    <t>2023-09-30</t>
  </si>
  <si>
    <t>2023-10-23</t>
  </si>
  <si>
    <t>2023-08-09</t>
  </si>
  <si>
    <t>2023-10-11</t>
  </si>
  <si>
    <t>2023-05-25</t>
  </si>
  <si>
    <t>2023-01-17</t>
  </si>
  <si>
    <t>2023-06-21</t>
  </si>
  <si>
    <t>2023-08-05</t>
  </si>
  <si>
    <t>2023-07-28</t>
  </si>
  <si>
    <t>2023-01-29</t>
  </si>
  <si>
    <t>2023-07-29</t>
  </si>
  <si>
    <t>2023-04-18</t>
  </si>
  <si>
    <t>2023-09-01</t>
  </si>
  <si>
    <t>2023-12-21</t>
  </si>
  <si>
    <t>2023-04-09</t>
  </si>
  <si>
    <t>2023-08-22</t>
  </si>
  <si>
    <t>2023-10-10</t>
  </si>
  <si>
    <t>2023-12-24</t>
  </si>
  <si>
    <t>2023-07-18</t>
  </si>
  <si>
    <t>2023-02-14</t>
  </si>
  <si>
    <t>2023-07-15</t>
  </si>
  <si>
    <t>2023-01-27</t>
  </si>
  <si>
    <t>2023-12-01</t>
  </si>
  <si>
    <t>2023-02-18</t>
  </si>
  <si>
    <t>2023-04-03</t>
  </si>
  <si>
    <t>2023-06-06</t>
  </si>
  <si>
    <t>2023-11-26</t>
  </si>
  <si>
    <t>2023-06-22</t>
  </si>
  <si>
    <t>2023-10-17</t>
  </si>
  <si>
    <t>2023-10-14</t>
  </si>
  <si>
    <t>2023-02-25</t>
  </si>
  <si>
    <t>2023-05-16</t>
  </si>
  <si>
    <t>2023-07-12</t>
  </si>
  <si>
    <t>2023-02-10</t>
  </si>
  <si>
    <t>2023-12-17</t>
  </si>
  <si>
    <t>2023-10-26</t>
  </si>
  <si>
    <t>2023-05-11</t>
  </si>
  <si>
    <t>2023-01-24</t>
  </si>
  <si>
    <t>2023-11-09</t>
  </si>
  <si>
    <t>2023-07-05</t>
  </si>
  <si>
    <t>2023-01-03</t>
  </si>
  <si>
    <t>2023-06-14</t>
  </si>
  <si>
    <t>2023-02-04</t>
  </si>
  <si>
    <t>2023-02-11</t>
  </si>
  <si>
    <t>2023-01-08</t>
  </si>
  <si>
    <t>2023-12-27</t>
  </si>
  <si>
    <t>2023-01-05</t>
  </si>
  <si>
    <t>2023-05-09</t>
  </si>
  <si>
    <t>2023-09-18</t>
  </si>
  <si>
    <t>2023-01-10</t>
  </si>
  <si>
    <t>2023-10-07</t>
  </si>
  <si>
    <t>2023-08-16</t>
  </si>
  <si>
    <t>2023-08-14</t>
  </si>
  <si>
    <t>2023-11-24</t>
  </si>
  <si>
    <t>2023-07-08</t>
  </si>
  <si>
    <t>2023-11-19</t>
  </si>
  <si>
    <t>2023-09-28</t>
  </si>
  <si>
    <t>2023-07-16</t>
  </si>
  <si>
    <t>2023-04-01</t>
  </si>
  <si>
    <t>2023-03-26</t>
  </si>
  <si>
    <t>2023-06-23</t>
  </si>
  <si>
    <t>2023-12-20</t>
  </si>
  <si>
    <t>2023-02-27</t>
  </si>
  <si>
    <t>2023-05-18</t>
  </si>
  <si>
    <t>2023-06-18</t>
  </si>
  <si>
    <t>2023-06-24</t>
  </si>
  <si>
    <t>2023-03-12</t>
  </si>
  <si>
    <t>2023-01-09</t>
  </si>
  <si>
    <t>2023-03-17</t>
  </si>
  <si>
    <t>2023-07-04</t>
  </si>
  <si>
    <t>2023-11-07</t>
  </si>
  <si>
    <t>2023-12-22</t>
  </si>
  <si>
    <t>2023-10-16</t>
  </si>
  <si>
    <t>2023-08-15</t>
  </si>
  <si>
    <t>2023-04-14</t>
  </si>
  <si>
    <t>2023-01-12</t>
  </si>
  <si>
    <t>2023-11-16</t>
  </si>
  <si>
    <t>2023-02-13</t>
  </si>
  <si>
    <t>2023-01-16</t>
  </si>
  <si>
    <t>2023-05-26</t>
  </si>
  <si>
    <t>2023-04-13</t>
  </si>
  <si>
    <t>2023-11-02</t>
  </si>
  <si>
    <t>2023-10-15</t>
  </si>
  <si>
    <t>2023-11-01</t>
  </si>
  <si>
    <t>2023-11-08</t>
  </si>
  <si>
    <t>2023-12-14</t>
  </si>
  <si>
    <t>2023-05-28</t>
  </si>
  <si>
    <t>2023-10-03</t>
  </si>
  <si>
    <t>2023-07-11</t>
  </si>
  <si>
    <t>2023-06-03</t>
  </si>
  <si>
    <t>2023-06-04</t>
  </si>
  <si>
    <t>2023-06-09</t>
  </si>
  <si>
    <t>2023-08-11</t>
  </si>
  <si>
    <t>2023-10-24</t>
  </si>
  <si>
    <t>2023-08-12</t>
  </si>
  <si>
    <t>2023-05-27</t>
  </si>
  <si>
    <t>2023-06-02</t>
  </si>
  <si>
    <t>2023-04-27</t>
  </si>
  <si>
    <t>2023-01-28</t>
  </si>
  <si>
    <t>2023-01-22</t>
  </si>
  <si>
    <t>2023-06-25</t>
  </si>
  <si>
    <t>2023-06-08</t>
  </si>
  <si>
    <t>2023-09-12</t>
  </si>
  <si>
    <t>2023-04-17</t>
  </si>
  <si>
    <t>2023-08-23</t>
  </si>
  <si>
    <t>2023-01-30</t>
  </si>
  <si>
    <t>2023-01-18</t>
  </si>
  <si>
    <t>2023-08-31</t>
  </si>
  <si>
    <t>2023-04-23</t>
  </si>
  <si>
    <t>2023-04-25</t>
  </si>
  <si>
    <t>2023-02-02</t>
  </si>
  <si>
    <t>2023-03-15</t>
  </si>
  <si>
    <t>2023-09-10</t>
  </si>
  <si>
    <t>2023-12-26</t>
  </si>
  <si>
    <t>2023-06-30</t>
  </si>
  <si>
    <t>2023-06-01</t>
  </si>
  <si>
    <t>2023-09-26</t>
  </si>
  <si>
    <t>2023-10-18</t>
  </si>
  <si>
    <t>2023-07-17</t>
  </si>
  <si>
    <t>2023-06-10</t>
  </si>
  <si>
    <t>2023-05-20</t>
  </si>
  <si>
    <t>2023-10-05</t>
  </si>
  <si>
    <t>2023-04-04</t>
  </si>
  <si>
    <t>2023-11-30</t>
  </si>
  <si>
    <t>2023-11-04</t>
  </si>
  <si>
    <t>2023-07-30</t>
  </si>
  <si>
    <t>2023-06-05</t>
  </si>
  <si>
    <t>2023-10-02</t>
  </si>
  <si>
    <t>2023-04-11</t>
  </si>
  <si>
    <t>2023-09-20</t>
  </si>
  <si>
    <t>2023-03-02</t>
  </si>
  <si>
    <t>2023-08-02</t>
  </si>
  <si>
    <t>2023-09-13</t>
  </si>
  <si>
    <t>2023-12-12</t>
  </si>
  <si>
    <t>2023-10-04</t>
  </si>
  <si>
    <t>2023-04-24</t>
  </si>
  <si>
    <t>2023-10-22</t>
  </si>
  <si>
    <t>2023-04-08</t>
  </si>
  <si>
    <t>2023-12-16</t>
  </si>
  <si>
    <t>2023-12-07</t>
  </si>
  <si>
    <t>2023-08-06</t>
  </si>
  <si>
    <t>2023-11-10</t>
  </si>
  <si>
    <t>2023-03-16</t>
  </si>
  <si>
    <t>2023-09-19</t>
  </si>
  <si>
    <t>2023-03-14</t>
  </si>
  <si>
    <t>2023-04-29</t>
  </si>
  <si>
    <t>2023-10-29</t>
  </si>
  <si>
    <t>2023-07-13</t>
  </si>
  <si>
    <t>2023-06-07</t>
  </si>
  <si>
    <t>2023-11-23</t>
  </si>
  <si>
    <t>2023-02-19</t>
  </si>
  <si>
    <t>2023-02-12</t>
  </si>
  <si>
    <t>2023-02-07</t>
  </si>
  <si>
    <t>2023-01-04</t>
  </si>
  <si>
    <t>2023-03-09</t>
  </si>
  <si>
    <t>2023-06-16</t>
  </si>
  <si>
    <t>2023-12-06</t>
  </si>
  <si>
    <t>2023-11-13</t>
  </si>
  <si>
    <t>2023-03-10</t>
  </si>
  <si>
    <t>2023-07-06</t>
  </si>
  <si>
    <t>2023-07-27</t>
  </si>
  <si>
    <t>2023-04-19</t>
  </si>
  <si>
    <t>2023-11-03</t>
  </si>
  <si>
    <t>2023-07-07</t>
  </si>
  <si>
    <t>2023-01-26</t>
  </si>
  <si>
    <t>Month</t>
  </si>
  <si>
    <t>Day type</t>
  </si>
  <si>
    <t xml:space="preserve">Average Sales </t>
  </si>
  <si>
    <t>Minimum Sales</t>
  </si>
  <si>
    <t>Weekday</t>
  </si>
  <si>
    <t>Weekend</t>
  </si>
  <si>
    <t>Apr</t>
  </si>
  <si>
    <t>Dec</t>
  </si>
  <si>
    <t>Feb</t>
  </si>
  <si>
    <t>Mar</t>
  </si>
  <si>
    <t>Sep</t>
  </si>
  <si>
    <t>Oct</t>
  </si>
  <si>
    <t>May</t>
  </si>
  <si>
    <t>Jun</t>
  </si>
  <si>
    <t>Jul</t>
  </si>
  <si>
    <t>Aug</t>
  </si>
  <si>
    <t>Nov</t>
  </si>
  <si>
    <t>Jan</t>
  </si>
  <si>
    <t xml:space="preserve">Total Sales </t>
  </si>
  <si>
    <t>Sum of Sales</t>
  </si>
  <si>
    <t>Grand Total</t>
  </si>
  <si>
    <t>Total  Quantity</t>
  </si>
  <si>
    <t>Total Orders</t>
  </si>
  <si>
    <t>quantity</t>
  </si>
  <si>
    <t>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</si>
</sst>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1"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2" borderId="0" xfId="0" applyFill="1"/>
  </cellXfs>
  <cellStyles count="1">
    <cellStyle name="Normal" xfId="0" builtinId="0"/>
  </cellStyles>
  <dxfs count="2">
    <dxf>
      <numFmt numFmtId="1" formatCode="0"/>
    </dxf>
    <dxf>
      <border outline="0">
        <left style="thin">
          <color auto="1"/>
        </left>
        <right style="thin">
          <color auto="1"/>
        </right>
        <top style="thin">
          <color auto="1"/>
        </top>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[NIIT_Data_Analysis - Project.xlsx]Gender Chart!PivotTable5</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u="sng">
                <a:latin typeface="+mj-lt"/>
              </a:rPr>
              <a:t>Total Sales by Gender</a:t>
            </a:r>
          </a:p>
        </c:rich>
      </c:tx>
      <c:layout>
        <c:manualLayout>
          <c:xMode val="edge"/>
          <c:yMode val="edge"/>
          <c:x val="0.32568744531933508"/>
          <c:y val="4.546502816855006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7.5157480314960612E-2"/>
          <c:y val="0.18949325894932589"/>
          <c:w val="0.45927777777777778"/>
          <c:h val="0.76866573686657369"/>
        </c:manualLayout>
      </c:layout>
      <c:pieChart>
        <c:varyColors val="1"/>
        <c:ser>
          <c:idx val="0"/>
          <c:order val="0"/>
          <c:tx>
            <c:strRef>
              <c:f>'Gender Chart'!$B$1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008-40F3-AE0E-B0D2334402E0}"/>
              </c:ext>
            </c:extLst>
          </c:dPt>
          <c:dPt>
            <c:idx val="1"/>
            <c:bubble3D val="0"/>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008-40F3-AE0E-B0D2334402E0}"/>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Chart'!$A$2:$A$4</c:f>
              <c:strCache>
                <c:ptCount val="2"/>
                <c:pt idx="0">
                  <c:v>Female</c:v>
                </c:pt>
                <c:pt idx="1">
                  <c:v>Male</c:v>
                </c:pt>
              </c:strCache>
            </c:strRef>
          </c:cat>
          <c:val>
            <c:numRef>
              <c:f>'Gender Chart'!$B$2:$B$4</c:f>
              <c:numCache>
                <c:formatCode>0.00%</c:formatCode>
                <c:ptCount val="2"/>
                <c:pt idx="0">
                  <c:v>0.46126040162460791</c:v>
                </c:pt>
                <c:pt idx="1">
                  <c:v>0.53873959837539209</c:v>
                </c:pt>
              </c:numCache>
            </c:numRef>
          </c:val>
          <c:extLst>
            <c:ext xmlns:c16="http://schemas.microsoft.com/office/drawing/2014/chart" uri="{C3380CC4-5D6E-409C-BE32-E72D297353CC}">
              <c16:uniqueId val="{00000004-8008-40F3-AE0E-B0D2334402E0}"/>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8459273840769899"/>
          <c:y val="0.76501572240708404"/>
          <c:w val="0.26262948381452317"/>
          <c:h val="0.156904863879462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[NIIT_Data_Analysis - Project.xlsx]Product Chart!PivotTable2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u="sng">
                <a:solidFill>
                  <a:sysClr val="windowText" lastClr="000000"/>
                </a:solidFill>
                <a:latin typeface="+mj-lt"/>
              </a:rPr>
              <a:t>Sales by Product</a:t>
            </a:r>
          </a:p>
        </c:rich>
      </c:tx>
      <c:layout>
        <c:manualLayout>
          <c:xMode val="edge"/>
          <c:yMode val="edge"/>
          <c:x val="0.35219444444444442"/>
          <c:y val="2.2127442403032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15770851560221638"/>
          <c:w val="0.59828937007874028"/>
          <c:h val="0.59900371828521437"/>
        </c:manualLayout>
      </c:layout>
      <c:barChart>
        <c:barDir val="col"/>
        <c:grouping val="clustered"/>
        <c:varyColors val="0"/>
        <c:ser>
          <c:idx val="0"/>
          <c:order val="0"/>
          <c:tx>
            <c:strRef>
              <c:f>'Product Chart'!$B$1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Chart'!$A$2:$A$9</c:f>
              <c:strCache>
                <c:ptCount val="7"/>
                <c:pt idx="0">
                  <c:v>Backpack</c:v>
                </c:pt>
                <c:pt idx="1">
                  <c:v>Headphones</c:v>
                </c:pt>
                <c:pt idx="2">
                  <c:v>Laptop</c:v>
                </c:pt>
                <c:pt idx="3">
                  <c:v>Phone</c:v>
                </c:pt>
                <c:pt idx="4">
                  <c:v>Shoes</c:v>
                </c:pt>
                <c:pt idx="5">
                  <c:v>T-Shirt</c:v>
                </c:pt>
                <c:pt idx="6">
                  <c:v>Watch</c:v>
                </c:pt>
              </c:strCache>
            </c:strRef>
          </c:cat>
          <c:val>
            <c:numRef>
              <c:f>'Product Chart'!$B$2:$B$9</c:f>
              <c:numCache>
                <c:formatCode>General</c:formatCode>
                <c:ptCount val="7"/>
                <c:pt idx="0">
                  <c:v>427748</c:v>
                </c:pt>
                <c:pt idx="1">
                  <c:v>401902</c:v>
                </c:pt>
                <c:pt idx="2">
                  <c:v>464486</c:v>
                </c:pt>
                <c:pt idx="3">
                  <c:v>380648</c:v>
                </c:pt>
                <c:pt idx="4">
                  <c:v>228684</c:v>
                </c:pt>
                <c:pt idx="5">
                  <c:v>391626</c:v>
                </c:pt>
                <c:pt idx="6">
                  <c:v>373119</c:v>
                </c:pt>
              </c:numCache>
            </c:numRef>
          </c:val>
          <c:extLst>
            <c:ext xmlns:c16="http://schemas.microsoft.com/office/drawing/2014/chart" uri="{C3380CC4-5D6E-409C-BE32-E72D297353CC}">
              <c16:uniqueId val="{00000000-AAFD-4A03-9F22-0406C196F41E}"/>
            </c:ext>
          </c:extLst>
        </c:ser>
        <c:dLbls>
          <c:showLegendKey val="0"/>
          <c:showVal val="0"/>
          <c:showCatName val="0"/>
          <c:showSerName val="0"/>
          <c:showPercent val="0"/>
          <c:showBubbleSize val="0"/>
        </c:dLbls>
        <c:gapWidth val="219"/>
        <c:overlap val="-27"/>
        <c:axId val="699400224"/>
        <c:axId val="699399264"/>
      </c:barChart>
      <c:catAx>
        <c:axId val="699400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399264"/>
        <c:crosses val="autoZero"/>
        <c:auto val="1"/>
        <c:lblAlgn val="ctr"/>
        <c:lblOffset val="100"/>
        <c:noMultiLvlLbl val="0"/>
      </c:catAx>
      <c:valAx>
        <c:axId val="69939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400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[NIIT_Data_Analysis - Project.xlsx]Month Chart!PivotTable3</c:name>
    <c:fmtId val="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by Month</a:t>
            </a:r>
          </a:p>
        </c:rich>
      </c:tx>
      <c:layout>
        <c:manualLayout>
          <c:xMode val="edge"/>
          <c:yMode val="edge"/>
          <c:x val="0.32165627399390256"/>
          <c:y val="4.5275590551181105E-2"/>
        </c:manualLayout>
      </c:layout>
      <c:overlay val="0"/>
      <c:spPr>
        <a:solidFill>
          <a:schemeClr val="accent4">
            <a:lumMod val="50000"/>
          </a:schemeClr>
        </a:solid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439820481436147E-2"/>
          <c:y val="0.22263670166229221"/>
          <c:w val="0.77764177886576913"/>
          <c:h val="0.5783920239136775"/>
        </c:manualLayout>
      </c:layout>
      <c:lineChart>
        <c:grouping val="standard"/>
        <c:varyColors val="0"/>
        <c:ser>
          <c:idx val="0"/>
          <c:order val="0"/>
          <c:tx>
            <c:strRef>
              <c:f>'Month Chart'!$B$1</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'Month Chart'!$A$2:$A$14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Chart'!$B$2:$B$14</c:f>
              <c:numCache>
                <c:formatCode>0.00%</c:formatCode>
                <c:ptCount val="12"/>
                <c:pt idx="0">
                  <c:v>8.6451493939951565E-2</c:v>
                </c:pt>
                <c:pt idx="1">
                  <c:v>6.2266768057872443E-2</c:v>
                </c:pt>
                <c:pt idx="2">
                  <c:v>6.408521358677137E-2</c:v>
                </c:pt>
                <c:pt idx="3">
                  <c:v>6.2945124695817006E-2</c:v>
                </c:pt>
                <c:pt idx="4">
                  <c:v>7.6263401759904481E-2</c:v>
                </c:pt>
                <c:pt idx="5">
                  <c:v>0.14604381284402707</c:v>
                </c:pt>
                <c:pt idx="6">
                  <c:v>8.8630480400177944E-2</c:v>
                </c:pt>
                <c:pt idx="7">
                  <c:v>7.6455665271100925E-2</c:v>
                </c:pt>
                <c:pt idx="8">
                  <c:v>8.3363284715275723E-2</c:v>
                </c:pt>
                <c:pt idx="9">
                  <c:v>0.10638281126731637</c:v>
                </c:pt>
                <c:pt idx="10">
                  <c:v>7.0646908623861734E-2</c:v>
                </c:pt>
                <c:pt idx="11">
                  <c:v>7.6465034837923357E-2</c:v>
                </c:pt>
              </c:numCache>
            </c:numRef>
          </c:val>
          <c:smooth val="0"/>
          <c:extLst>
            <c:ext xmlns:c16="http://schemas.microsoft.com/office/drawing/2014/chart" uri="{C3380CC4-5D6E-409C-BE32-E72D297353CC}">
              <c16:uniqueId val="{00000000-5506-4170-95C8-3AA91EE24FFB}"/>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33470944"/>
        <c:axId val="392990720"/>
      </c:lineChart>
      <c:catAx>
        <c:axId val="433470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392990720"/>
        <c:crosses val="autoZero"/>
        <c:auto val="1"/>
        <c:lblAlgn val="ctr"/>
        <c:lblOffset val="100"/>
        <c:noMultiLvlLbl val="0"/>
      </c:catAx>
      <c:valAx>
        <c:axId val="392990720"/>
        <c:scaling>
          <c:orientation val="minMax"/>
        </c:scaling>
        <c:delete val="1"/>
        <c:axPos val="l"/>
        <c:numFmt formatCode="0.00%" sourceLinked="1"/>
        <c:majorTickMark val="none"/>
        <c:minorTickMark val="none"/>
        <c:tickLblPos val="nextTo"/>
        <c:crossAx val="433470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[NIIT_Data_Analysis - Project.xlsx]Region Chart!PivotTable1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u="sng">
                <a:solidFill>
                  <a:schemeClr val="accent4">
                    <a:lumMod val="50000"/>
                  </a:schemeClr>
                </a:solidFill>
                <a:latin typeface="+mj-lt"/>
              </a:rPr>
              <a:t>Sales</a:t>
            </a:r>
            <a:r>
              <a:rPr lang="en-US" sz="1200" u="sng" baseline="0">
                <a:solidFill>
                  <a:schemeClr val="accent4">
                    <a:lumMod val="50000"/>
                  </a:schemeClr>
                </a:solidFill>
                <a:latin typeface="+mj-lt"/>
              </a:rPr>
              <a:t> by region</a:t>
            </a:r>
            <a:endParaRPr lang="en-US" sz="1200" u="sng">
              <a:solidFill>
                <a:schemeClr val="accent4">
                  <a:lumMod val="50000"/>
                </a:schemeClr>
              </a:solidFill>
              <a:latin typeface="+mj-lt"/>
            </a:endParaRPr>
          </a:p>
        </c:rich>
      </c:tx>
      <c:layout>
        <c:manualLayout>
          <c:xMode val="edge"/>
          <c:yMode val="edge"/>
          <c:x val="0.37112489063867021"/>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pivotFmt>
      <c:pivotFmt>
        <c:idx val="2"/>
        <c:spPr>
          <a:solidFill>
            <a:schemeClr val="accent2">
              <a:lumMod val="75000"/>
            </a:schemeClr>
          </a:solidFill>
          <a:ln>
            <a:noFill/>
          </a:ln>
          <a:effectLst/>
        </c:spPr>
      </c:pivotFmt>
      <c:pivotFmt>
        <c:idx val="3"/>
        <c:spPr>
          <a:solidFill>
            <a:srgbClr val="00B05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pivotFmt>
      <c:pivotFmt>
        <c:idx val="6"/>
        <c:spPr>
          <a:solidFill>
            <a:schemeClr val="accent2">
              <a:lumMod val="75000"/>
            </a:schemeClr>
          </a:solidFill>
          <a:ln>
            <a:noFill/>
          </a:ln>
          <a:effectLst/>
        </c:spPr>
      </c:pivotFmt>
      <c:pivotFmt>
        <c:idx val="7"/>
        <c:spPr>
          <a:solidFill>
            <a:schemeClr val="accent6">
              <a:lumMod val="75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a:noFill/>
          </a:ln>
          <a:effectLst/>
        </c:spPr>
      </c:pivotFmt>
      <c:pivotFmt>
        <c:idx val="10"/>
        <c:spPr>
          <a:solidFill>
            <a:schemeClr val="accent2">
              <a:lumMod val="75000"/>
            </a:schemeClr>
          </a:solidFill>
          <a:ln>
            <a:noFill/>
          </a:ln>
          <a:effectLst/>
        </c:spPr>
      </c:pivotFmt>
      <c:pivotFmt>
        <c:idx val="11"/>
        <c:spPr>
          <a:solidFill>
            <a:schemeClr val="accent6">
              <a:lumMod val="75000"/>
            </a:schemeClr>
          </a:solidFill>
          <a:ln>
            <a:noFill/>
          </a:ln>
          <a:effectLst/>
        </c:spPr>
      </c:pivotFmt>
    </c:pivotFmts>
    <c:plotArea>
      <c:layout>
        <c:manualLayout>
          <c:layoutTarget val="inner"/>
          <c:xMode val="edge"/>
          <c:yMode val="edge"/>
          <c:x val="0.10080336832895888"/>
          <c:y val="0.12993073782443865"/>
          <c:w val="0.6111966316710411"/>
          <c:h val="0.76266987459900848"/>
        </c:manualLayout>
      </c:layout>
      <c:barChart>
        <c:barDir val="bar"/>
        <c:grouping val="clustered"/>
        <c:varyColors val="0"/>
        <c:ser>
          <c:idx val="0"/>
          <c:order val="0"/>
          <c:tx>
            <c:strRef>
              <c:f>'Region Chart'!$B$1</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1-FA44-4608-AE72-C707A8DE3127}"/>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3-FA44-4608-AE72-C707A8DE3127}"/>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5-FA44-4608-AE72-C707A8DE3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Chart'!$A$2:$A$6</c:f>
              <c:strCache>
                <c:ptCount val="4"/>
                <c:pt idx="0">
                  <c:v>East</c:v>
                </c:pt>
                <c:pt idx="1">
                  <c:v>North</c:v>
                </c:pt>
                <c:pt idx="2">
                  <c:v>South</c:v>
                </c:pt>
                <c:pt idx="3">
                  <c:v>West</c:v>
                </c:pt>
              </c:strCache>
            </c:strRef>
          </c:cat>
          <c:val>
            <c:numRef>
              <c:f>'Region Chart'!$B$2:$B$6</c:f>
              <c:numCache>
                <c:formatCode>General</c:formatCode>
                <c:ptCount val="4"/>
                <c:pt idx="0">
                  <c:v>656435</c:v>
                </c:pt>
                <c:pt idx="1">
                  <c:v>767236</c:v>
                </c:pt>
                <c:pt idx="2">
                  <c:v>548327</c:v>
                </c:pt>
                <c:pt idx="3">
                  <c:v>696215</c:v>
                </c:pt>
              </c:numCache>
            </c:numRef>
          </c:val>
          <c:extLst>
            <c:ext xmlns:c16="http://schemas.microsoft.com/office/drawing/2014/chart" uri="{C3380CC4-5D6E-409C-BE32-E72D297353CC}">
              <c16:uniqueId val="{00000006-FA44-4608-AE72-C707A8DE3127}"/>
            </c:ext>
          </c:extLst>
        </c:ser>
        <c:dLbls>
          <c:dLblPos val="outEnd"/>
          <c:showLegendKey val="0"/>
          <c:showVal val="1"/>
          <c:showCatName val="0"/>
          <c:showSerName val="0"/>
          <c:showPercent val="0"/>
          <c:showBubbleSize val="0"/>
        </c:dLbls>
        <c:gapWidth val="182"/>
        <c:axId val="335502144"/>
        <c:axId val="335502624"/>
      </c:barChart>
      <c:catAx>
        <c:axId val="335502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502624"/>
        <c:crosses val="autoZero"/>
        <c:auto val="1"/>
        <c:lblAlgn val="ctr"/>
        <c:lblOffset val="100"/>
        <c:noMultiLvlLbl val="0"/>
      </c:catAx>
      <c:valAx>
        <c:axId val="3355026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502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[NIIT_Data_Analysis - Project.xlsx]Quantity Chart!PivotTable4</c:name>
    <c:fmtId val="7"/>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Sales by quantity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'Quantity Chart'!$B$1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346-47CE-A296-05B1F37B9AC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346-47CE-A296-05B1F37B9AC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346-47CE-A296-05B1F37B9AC8}"/>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346-47CE-A296-05B1F37B9AC8}"/>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3346-47CE-A296-05B1F37B9AC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'Quantity Chart'!$A$2:$A$7</c:f>
              <c:strCache>
                <c:ptCount val="5"/>
                <c:pt idx="0">
                  <c:v>1</c:v>
                </c:pt>
                <c:pt idx="1">
                  <c:v>2</c:v>
                </c:pt>
                <c:pt idx="2">
                  <c:v>3</c:v>
                </c:pt>
                <c:pt idx="3">
                  <c:v>4</c:v>
                </c:pt>
                <c:pt idx="4">
                  <c:v>5</c:v>
                </c:pt>
              </c:strCache>
            </c:strRef>
          </c:cat>
          <c:val>
            <c:numRef>
              <c:f>'Quantity Chart'!$B$2:$B$7</c:f>
              <c:numCache>
                <c:formatCode>General</c:formatCode>
                <c:ptCount val="5"/>
                <c:pt idx="0">
                  <c:v>174674</c:v>
                </c:pt>
                <c:pt idx="1">
                  <c:v>321210</c:v>
                </c:pt>
                <c:pt idx="2">
                  <c:v>485850</c:v>
                </c:pt>
                <c:pt idx="3">
                  <c:v>665564</c:v>
                </c:pt>
                <c:pt idx="4">
                  <c:v>1020915</c:v>
                </c:pt>
              </c:numCache>
            </c:numRef>
          </c:val>
          <c:extLst>
            <c:ext xmlns:c16="http://schemas.microsoft.com/office/drawing/2014/chart" uri="{C3380CC4-5D6E-409C-BE32-E72D297353CC}">
              <c16:uniqueId val="{0000000A-3346-47CE-A296-05B1F37B9AC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[NIIT_Data_Analysis - Project.xlsx]Gender Chart!PivotTable5</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u="sng">
                <a:latin typeface="+mj-lt"/>
              </a:rPr>
              <a:t>Total Sales by Gender</a:t>
            </a:r>
          </a:p>
        </c:rich>
      </c:tx>
      <c:layout>
        <c:manualLayout>
          <c:xMode val="edge"/>
          <c:yMode val="edge"/>
          <c:x val="0.32568744531933508"/>
          <c:y val="4.546502816855006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7.5157480314960612E-2"/>
          <c:y val="0.18949325894932589"/>
          <c:w val="0.45927777777777778"/>
          <c:h val="0.76866573686657369"/>
        </c:manualLayout>
      </c:layout>
      <c:pieChart>
        <c:varyColors val="1"/>
        <c:ser>
          <c:idx val="0"/>
          <c:order val="0"/>
          <c:tx>
            <c:strRef>
              <c:f>'Gender Chart'!$B$1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A83-46F1-ABA9-86F18F96D274}"/>
              </c:ext>
            </c:extLst>
          </c:dPt>
          <c:dPt>
            <c:idx val="1"/>
            <c:bubble3D val="0"/>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A83-46F1-ABA9-86F18F96D274}"/>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Chart'!$A$2:$A$4</c:f>
              <c:strCache>
                <c:ptCount val="2"/>
                <c:pt idx="0">
                  <c:v>Female</c:v>
                </c:pt>
                <c:pt idx="1">
                  <c:v>Male</c:v>
                </c:pt>
              </c:strCache>
            </c:strRef>
          </c:cat>
          <c:val>
            <c:numRef>
              <c:f>'Gender Chart'!$B$2:$B$4</c:f>
              <c:numCache>
                <c:formatCode>0.00%</c:formatCode>
                <c:ptCount val="2"/>
                <c:pt idx="0">
                  <c:v>0.46126040162460791</c:v>
                </c:pt>
                <c:pt idx="1">
                  <c:v>0.53873959837539209</c:v>
                </c:pt>
              </c:numCache>
            </c:numRef>
          </c:val>
          <c:extLst>
            <c:ext xmlns:c16="http://schemas.microsoft.com/office/drawing/2014/chart" uri="{C3380CC4-5D6E-409C-BE32-E72D297353CC}">
              <c16:uniqueId val="{00000004-EA83-46F1-ABA9-86F18F96D274}"/>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8459273840769899"/>
          <c:y val="0.76501572240708404"/>
          <c:w val="0.26262948381452317"/>
          <c:h val="0.156904863879462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[NIIT_Data_Analysis - Project.xlsx]Month Chart!PivotTable3</c:name>
    <c:fmtId val="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by Month</a:t>
            </a:r>
          </a:p>
        </c:rich>
      </c:tx>
      <c:layout>
        <c:manualLayout>
          <c:xMode val="edge"/>
          <c:yMode val="edge"/>
          <c:x val="0.32165627399390256"/>
          <c:y val="4.5275590551181105E-2"/>
        </c:manualLayout>
      </c:layout>
      <c:overlay val="0"/>
      <c:spPr>
        <a:solidFill>
          <a:schemeClr val="accent4">
            <a:lumMod val="50000"/>
          </a:schemeClr>
        </a:solid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439820481436147E-2"/>
          <c:y val="0.22263670166229221"/>
          <c:w val="0.77764177886576913"/>
          <c:h val="0.5783920239136775"/>
        </c:manualLayout>
      </c:layout>
      <c:lineChart>
        <c:grouping val="standard"/>
        <c:varyColors val="0"/>
        <c:ser>
          <c:idx val="0"/>
          <c:order val="0"/>
          <c:tx>
            <c:strRef>
              <c:f>'Month Chart'!$B$1</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'Month Chart'!$A$2:$A$14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Chart'!$B$2:$B$14</c:f>
              <c:numCache>
                <c:formatCode>0.00%</c:formatCode>
                <c:ptCount val="12"/>
                <c:pt idx="0">
                  <c:v>8.6451493939951565E-2</c:v>
                </c:pt>
                <c:pt idx="1">
                  <c:v>6.2266768057872443E-2</c:v>
                </c:pt>
                <c:pt idx="2">
                  <c:v>6.408521358677137E-2</c:v>
                </c:pt>
                <c:pt idx="3">
                  <c:v>6.2945124695817006E-2</c:v>
                </c:pt>
                <c:pt idx="4">
                  <c:v>7.6263401759904481E-2</c:v>
                </c:pt>
                <c:pt idx="5">
                  <c:v>0.14604381284402707</c:v>
                </c:pt>
                <c:pt idx="6">
                  <c:v>8.8630480400177944E-2</c:v>
                </c:pt>
                <c:pt idx="7">
                  <c:v>7.6455665271100925E-2</c:v>
                </c:pt>
                <c:pt idx="8">
                  <c:v>8.3363284715275723E-2</c:v>
                </c:pt>
                <c:pt idx="9">
                  <c:v>0.10638281126731637</c:v>
                </c:pt>
                <c:pt idx="10">
                  <c:v>7.0646908623861734E-2</c:v>
                </c:pt>
                <c:pt idx="11">
                  <c:v>7.6465034837923357E-2</c:v>
                </c:pt>
              </c:numCache>
            </c:numRef>
          </c:val>
          <c:smooth val="0"/>
          <c:extLst>
            <c:ext xmlns:c16="http://schemas.microsoft.com/office/drawing/2014/chart" uri="{C3380CC4-5D6E-409C-BE32-E72D297353CC}">
              <c16:uniqueId val="{00000000-9C26-4147-AD05-9140ECD8BA60}"/>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33470944"/>
        <c:axId val="392990720"/>
      </c:lineChart>
      <c:catAx>
        <c:axId val="433470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392990720"/>
        <c:crosses val="autoZero"/>
        <c:auto val="1"/>
        <c:lblAlgn val="ctr"/>
        <c:lblOffset val="100"/>
        <c:noMultiLvlLbl val="0"/>
      </c:catAx>
      <c:valAx>
        <c:axId val="392990720"/>
        <c:scaling>
          <c:orientation val="minMax"/>
        </c:scaling>
        <c:delete val="1"/>
        <c:axPos val="l"/>
        <c:numFmt formatCode="0.00%" sourceLinked="1"/>
        <c:majorTickMark val="none"/>
        <c:minorTickMark val="none"/>
        <c:tickLblPos val="nextTo"/>
        <c:crossAx val="433470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[NIIT_Data_Analysis - Project.xlsx]Product Chart!PivotTable2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u="sng">
                <a:solidFill>
                  <a:sysClr val="windowText" lastClr="000000"/>
                </a:solidFill>
                <a:latin typeface="+mj-lt"/>
              </a:rPr>
              <a:t>Sales by Product</a:t>
            </a:r>
          </a:p>
        </c:rich>
      </c:tx>
      <c:layout>
        <c:manualLayout>
          <c:xMode val="edge"/>
          <c:yMode val="edge"/>
          <c:x val="0.35219444444444442"/>
          <c:y val="2.2127442403032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15770851560221638"/>
          <c:w val="0.59828937007874028"/>
          <c:h val="0.59900371828521437"/>
        </c:manualLayout>
      </c:layout>
      <c:barChart>
        <c:barDir val="col"/>
        <c:grouping val="clustered"/>
        <c:varyColors val="0"/>
        <c:ser>
          <c:idx val="0"/>
          <c:order val="0"/>
          <c:tx>
            <c:strRef>
              <c:f>'Product Chart'!$B$1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Chart'!$A$2:$A$9</c:f>
              <c:strCache>
                <c:ptCount val="7"/>
                <c:pt idx="0">
                  <c:v>Backpack</c:v>
                </c:pt>
                <c:pt idx="1">
                  <c:v>Headphones</c:v>
                </c:pt>
                <c:pt idx="2">
                  <c:v>Laptop</c:v>
                </c:pt>
                <c:pt idx="3">
                  <c:v>Phone</c:v>
                </c:pt>
                <c:pt idx="4">
                  <c:v>Shoes</c:v>
                </c:pt>
                <c:pt idx="5">
                  <c:v>T-Shirt</c:v>
                </c:pt>
                <c:pt idx="6">
                  <c:v>Watch</c:v>
                </c:pt>
              </c:strCache>
            </c:strRef>
          </c:cat>
          <c:val>
            <c:numRef>
              <c:f>'Product Chart'!$B$2:$B$9</c:f>
              <c:numCache>
                <c:formatCode>General</c:formatCode>
                <c:ptCount val="7"/>
                <c:pt idx="0">
                  <c:v>427748</c:v>
                </c:pt>
                <c:pt idx="1">
                  <c:v>401902</c:v>
                </c:pt>
                <c:pt idx="2">
                  <c:v>464486</c:v>
                </c:pt>
                <c:pt idx="3">
                  <c:v>380648</c:v>
                </c:pt>
                <c:pt idx="4">
                  <c:v>228684</c:v>
                </c:pt>
                <c:pt idx="5">
                  <c:v>391626</c:v>
                </c:pt>
                <c:pt idx="6">
                  <c:v>373119</c:v>
                </c:pt>
              </c:numCache>
            </c:numRef>
          </c:val>
          <c:extLst>
            <c:ext xmlns:c16="http://schemas.microsoft.com/office/drawing/2014/chart" uri="{C3380CC4-5D6E-409C-BE32-E72D297353CC}">
              <c16:uniqueId val="{00000000-5E75-46DA-BF98-EC36D753534A}"/>
            </c:ext>
          </c:extLst>
        </c:ser>
        <c:dLbls>
          <c:showLegendKey val="0"/>
          <c:showVal val="0"/>
          <c:showCatName val="0"/>
          <c:showSerName val="0"/>
          <c:showPercent val="0"/>
          <c:showBubbleSize val="0"/>
        </c:dLbls>
        <c:gapWidth val="219"/>
        <c:overlap val="-27"/>
        <c:axId val="699400224"/>
        <c:axId val="699399264"/>
      </c:barChart>
      <c:catAx>
        <c:axId val="699400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399264"/>
        <c:crosses val="autoZero"/>
        <c:auto val="1"/>
        <c:lblAlgn val="ctr"/>
        <c:lblOffset val="100"/>
        <c:noMultiLvlLbl val="0"/>
      </c:catAx>
      <c:valAx>
        <c:axId val="69939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400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[NIIT_Data_Analysis - Project.xlsx]Region Chart!PivotTable1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u="sng">
                <a:solidFill>
                  <a:schemeClr val="accent4">
                    <a:lumMod val="50000"/>
                  </a:schemeClr>
                </a:solidFill>
                <a:latin typeface="+mj-lt"/>
              </a:rPr>
              <a:t>Sales</a:t>
            </a:r>
            <a:r>
              <a:rPr lang="en-US" sz="1200" u="sng" baseline="0">
                <a:solidFill>
                  <a:schemeClr val="accent4">
                    <a:lumMod val="50000"/>
                  </a:schemeClr>
                </a:solidFill>
                <a:latin typeface="+mj-lt"/>
              </a:rPr>
              <a:t> by region</a:t>
            </a:r>
            <a:endParaRPr lang="en-US" sz="1200" u="sng">
              <a:solidFill>
                <a:schemeClr val="accent4">
                  <a:lumMod val="50000"/>
                </a:schemeClr>
              </a:solidFill>
              <a:latin typeface="+mj-lt"/>
            </a:endParaRPr>
          </a:p>
        </c:rich>
      </c:tx>
      <c:layout>
        <c:manualLayout>
          <c:xMode val="edge"/>
          <c:yMode val="edge"/>
          <c:x val="0.37112489063867021"/>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pivotFmt>
      <c:pivotFmt>
        <c:idx val="2"/>
        <c:spPr>
          <a:solidFill>
            <a:schemeClr val="accent2">
              <a:lumMod val="75000"/>
            </a:schemeClr>
          </a:solidFill>
          <a:ln>
            <a:noFill/>
          </a:ln>
          <a:effectLst/>
        </c:spPr>
      </c:pivotFmt>
      <c:pivotFmt>
        <c:idx val="3"/>
        <c:spPr>
          <a:solidFill>
            <a:srgbClr val="00B05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pivotFmt>
      <c:pivotFmt>
        <c:idx val="6"/>
        <c:spPr>
          <a:solidFill>
            <a:schemeClr val="accent2">
              <a:lumMod val="75000"/>
            </a:schemeClr>
          </a:solidFill>
          <a:ln>
            <a:noFill/>
          </a:ln>
          <a:effectLst/>
        </c:spPr>
      </c:pivotFmt>
      <c:pivotFmt>
        <c:idx val="7"/>
        <c:spPr>
          <a:solidFill>
            <a:schemeClr val="accent6">
              <a:lumMod val="75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a:noFill/>
          </a:ln>
          <a:effectLst/>
        </c:spPr>
      </c:pivotFmt>
      <c:pivotFmt>
        <c:idx val="10"/>
        <c:spPr>
          <a:solidFill>
            <a:schemeClr val="accent2">
              <a:lumMod val="75000"/>
            </a:schemeClr>
          </a:solidFill>
          <a:ln>
            <a:noFill/>
          </a:ln>
          <a:effectLst/>
        </c:spPr>
      </c:pivotFmt>
      <c:pivotFmt>
        <c:idx val="11"/>
        <c:spPr>
          <a:solidFill>
            <a:schemeClr val="accent6">
              <a:lumMod val="75000"/>
            </a:schemeClr>
          </a:solidFill>
          <a:ln>
            <a:noFill/>
          </a:ln>
          <a:effectLst/>
        </c:spPr>
      </c:pivotFmt>
    </c:pivotFmts>
    <c:plotArea>
      <c:layout>
        <c:manualLayout>
          <c:layoutTarget val="inner"/>
          <c:xMode val="edge"/>
          <c:yMode val="edge"/>
          <c:x val="0.10080336832895888"/>
          <c:y val="0.12993073782443865"/>
          <c:w val="0.6111966316710411"/>
          <c:h val="0.76266987459900848"/>
        </c:manualLayout>
      </c:layout>
      <c:barChart>
        <c:barDir val="bar"/>
        <c:grouping val="clustered"/>
        <c:varyColors val="0"/>
        <c:ser>
          <c:idx val="0"/>
          <c:order val="0"/>
          <c:tx>
            <c:strRef>
              <c:f>'Region Chart'!$B$1</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1-D68A-4296-BA90-52FB125A3984}"/>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3-D68A-4296-BA90-52FB125A3984}"/>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5-D68A-4296-BA90-52FB125A398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Chart'!$A$2:$A$6</c:f>
              <c:strCache>
                <c:ptCount val="4"/>
                <c:pt idx="0">
                  <c:v>East</c:v>
                </c:pt>
                <c:pt idx="1">
                  <c:v>North</c:v>
                </c:pt>
                <c:pt idx="2">
                  <c:v>South</c:v>
                </c:pt>
                <c:pt idx="3">
                  <c:v>West</c:v>
                </c:pt>
              </c:strCache>
            </c:strRef>
          </c:cat>
          <c:val>
            <c:numRef>
              <c:f>'Region Chart'!$B$2:$B$6</c:f>
              <c:numCache>
                <c:formatCode>General</c:formatCode>
                <c:ptCount val="4"/>
                <c:pt idx="0">
                  <c:v>656435</c:v>
                </c:pt>
                <c:pt idx="1">
                  <c:v>767236</c:v>
                </c:pt>
                <c:pt idx="2">
                  <c:v>548327</c:v>
                </c:pt>
                <c:pt idx="3">
                  <c:v>696215</c:v>
                </c:pt>
              </c:numCache>
            </c:numRef>
          </c:val>
          <c:extLst>
            <c:ext xmlns:c16="http://schemas.microsoft.com/office/drawing/2014/chart" uri="{C3380CC4-5D6E-409C-BE32-E72D297353CC}">
              <c16:uniqueId val="{00000006-D68A-4296-BA90-52FB125A3984}"/>
            </c:ext>
          </c:extLst>
        </c:ser>
        <c:dLbls>
          <c:dLblPos val="outEnd"/>
          <c:showLegendKey val="0"/>
          <c:showVal val="1"/>
          <c:showCatName val="0"/>
          <c:showSerName val="0"/>
          <c:showPercent val="0"/>
          <c:showBubbleSize val="0"/>
        </c:dLbls>
        <c:gapWidth val="182"/>
        <c:axId val="335502144"/>
        <c:axId val="335502624"/>
      </c:barChart>
      <c:catAx>
        <c:axId val="335502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502624"/>
        <c:crosses val="autoZero"/>
        <c:auto val="1"/>
        <c:lblAlgn val="ctr"/>
        <c:lblOffset val="100"/>
        <c:noMultiLvlLbl val="0"/>
      </c:catAx>
      <c:valAx>
        <c:axId val="3355026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502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[NIIT_Data_Analysis - Project.xlsx]Quantity Chart!PivotTable4</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Sales by quantity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'Quantity Chart'!$B$1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4B1-4C4B-9C6B-A35103DCBAB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4B1-4C4B-9C6B-A35103DCBAB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4B1-4C4B-9C6B-A35103DCBAB8}"/>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4B1-4C4B-9C6B-A35103DCBAB8}"/>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84B1-4C4B-9C6B-A35103DCBAB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'Quantity Chart'!$A$2:$A$7</c:f>
              <c:strCache>
                <c:ptCount val="5"/>
                <c:pt idx="0">
                  <c:v>1</c:v>
                </c:pt>
                <c:pt idx="1">
                  <c:v>2</c:v>
                </c:pt>
                <c:pt idx="2">
                  <c:v>3</c:v>
                </c:pt>
                <c:pt idx="3">
                  <c:v>4</c:v>
                </c:pt>
                <c:pt idx="4">
                  <c:v>5</c:v>
                </c:pt>
              </c:strCache>
            </c:strRef>
          </c:cat>
          <c:val>
            <c:numRef>
              <c:f>'Quantity Chart'!$B$2:$B$7</c:f>
              <c:numCache>
                <c:formatCode>General</c:formatCode>
                <c:ptCount val="5"/>
                <c:pt idx="0">
                  <c:v>174674</c:v>
                </c:pt>
                <c:pt idx="1">
                  <c:v>321210</c:v>
                </c:pt>
                <c:pt idx="2">
                  <c:v>485850</c:v>
                </c:pt>
                <c:pt idx="3">
                  <c:v>665564</c:v>
                </c:pt>
                <c:pt idx="4">
                  <c:v>1020915</c:v>
                </c:pt>
              </c:numCache>
            </c:numRef>
          </c:val>
          <c:extLst>
            <c:ext xmlns:c16="http://schemas.microsoft.com/office/drawing/2014/chart" uri="{C3380CC4-5D6E-409C-BE32-E72D297353CC}">
              <c16:uniqueId val="{0000000A-84B1-4C4B-9C6B-A35103DCBAB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12</xdr:col>
      <xdr:colOff>365760</xdr:colOff>
      <xdr:row>5</xdr:row>
      <xdr:rowOff>22860</xdr:rowOff>
    </xdr:from>
    <xdr:to>
      <xdr:col>20</xdr:col>
      <xdr:colOff>434340</xdr:colOff>
      <xdr:row>17</xdr:row>
      <xdr:rowOff>91440</xdr:rowOff>
    </xdr:to>
    <xdr:sp macro="" textlink="">
      <xdr:nvSpPr>
        <xdr:cNvPr id="2" name="Rectangle 1">
          <a:extLst>
            <a:ext uri="{FF2B5EF4-FFF2-40B4-BE49-F238E27FC236}">
              <a16:creationId xmlns:a16="http://schemas.microsoft.com/office/drawing/2014/main" id="{8F016F5A-A1E4-57D1-DEE5-46F78CBB31C2}"/>
            </a:ext>
          </a:extLst>
        </xdr:cNvPr>
        <xdr:cNvSpPr/>
      </xdr:nvSpPr>
      <xdr:spPr>
        <a:xfrm>
          <a:off x="7947660" y="937260"/>
          <a:ext cx="4945380" cy="22631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1. Added Day</a:t>
          </a:r>
          <a:r>
            <a:rPr lang="en-IN" sz="2000" baseline="0"/>
            <a:t> type column and put the IF and Weeday formula to Categorize day type</a:t>
          </a:r>
        </a:p>
        <a:p>
          <a:pPr algn="l"/>
          <a:r>
            <a:rPr lang="en-IN" sz="2000" baseline="0"/>
            <a:t>2. Added Text formula for the Month column.</a:t>
          </a:r>
        </a:p>
        <a:p>
          <a:pPr algn="l"/>
          <a:r>
            <a:rPr lang="en-IN" sz="2000" baseline="0"/>
            <a:t>3. Added proper function to capitalize the letter of the Day type column.</a:t>
          </a:r>
        </a:p>
        <a:p>
          <a:pPr algn="l"/>
          <a:r>
            <a:rPr lang="en-IN" sz="2000"/>
            <a:t>4. No duplicate value</a:t>
          </a:r>
          <a:r>
            <a:rPr lang="en-IN" sz="2000" baseline="0"/>
            <a:t> is found.</a:t>
          </a:r>
          <a:endParaRPr lang="en-IN" sz="2000"/>
        </a:p>
      </xdr:txBody>
    </xdr:sp>
    <xdr:clientData/>
  </xdr:twoCellAnchor>
  <xdr:twoCellAnchor>
    <xdr:from>
      <xdr:col>11</xdr:col>
      <xdr:colOff>594360</xdr:colOff>
      <xdr:row>20</xdr:row>
      <xdr:rowOff>7620</xdr:rowOff>
    </xdr:from>
    <xdr:to>
      <xdr:col>16</xdr:col>
      <xdr:colOff>601980</xdr:colOff>
      <xdr:row>20</xdr:row>
      <xdr:rowOff>167640</xdr:rowOff>
    </xdr:to>
    <xdr:sp macro="" textlink="">
      <xdr:nvSpPr>
        <xdr:cNvPr id="3" name="Rectangle 2">
          <a:extLst>
            <a:ext uri="{FF2B5EF4-FFF2-40B4-BE49-F238E27FC236}">
              <a16:creationId xmlns:a16="http://schemas.microsoft.com/office/drawing/2014/main" id="{5E643FA6-A377-94C0-484D-D496CDE85FE3}"/>
            </a:ext>
          </a:extLst>
        </xdr:cNvPr>
        <xdr:cNvSpPr/>
      </xdr:nvSpPr>
      <xdr:spPr>
        <a:xfrm>
          <a:off x="7566660" y="3665220"/>
          <a:ext cx="4663440" cy="160020"/>
        </a:xfrm>
        <a:prstGeom prst="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Data Summary</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792480</xdr:colOff>
      <xdr:row>0</xdr:row>
      <xdr:rowOff>175260</xdr:rowOff>
    </xdr:from>
    <xdr:to>
      <xdr:col>9</xdr:col>
      <xdr:colOff>351609</xdr:colOff>
      <xdr:row>15</xdr:row>
      <xdr:rowOff>166007</xdr:rowOff>
    </xdr:to>
    <xdr:graphicFrame macro="">
      <xdr:nvGraphicFramePr>
        <xdr:cNvPr id="6" name="Chart 5">
          <a:extLst>
            <a:ext uri="{FF2B5EF4-FFF2-40B4-BE49-F238E27FC236}">
              <a16:creationId xmlns:a16="http://schemas.microsoft.com/office/drawing/2014/main" id="{37CE34E3-868E-4229-9BFB-25D480B326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0.56667</cdr:x>
      <cdr:y>0.18689</cdr:y>
    </cdr:from>
    <cdr:to>
      <cdr:x>0.96333</cdr:x>
      <cdr:y>0.64156</cdr:y>
    </cdr:to>
    <cdr:sp macro="" textlink="">
      <cdr:nvSpPr>
        <cdr:cNvPr id="2" name="Rectangle: Rounded Corners 1">
          <a:extLst xmlns:a="http://schemas.openxmlformats.org/drawingml/2006/main">
            <a:ext uri="{FF2B5EF4-FFF2-40B4-BE49-F238E27FC236}">
              <a16:creationId xmlns:a16="http://schemas.microsoft.com/office/drawing/2014/main" id="{03F1D3E4-F3D7-A46D-FE47-230ADFABC63B}"/>
            </a:ext>
          </a:extLst>
        </cdr:cNvPr>
        <cdr:cNvSpPr/>
      </cdr:nvSpPr>
      <cdr:spPr>
        <a:xfrm xmlns:a="http://schemas.openxmlformats.org/drawingml/2006/main">
          <a:off x="2590800" y="510540"/>
          <a:ext cx="1813560" cy="1242060"/>
        </a:xfrm>
        <a:prstGeom xmlns:a="http://schemas.openxmlformats.org/drawingml/2006/main" prst="roundRect">
          <a:avLst/>
        </a:prstGeom>
        <a:solidFill xmlns:a="http://schemas.openxmlformats.org/drawingml/2006/main">
          <a:schemeClr val="accent2">
            <a:lumMod val="20000"/>
            <a:lumOff val="8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IN" kern="1200">
              <a:solidFill>
                <a:schemeClr val="tx1">
                  <a:lumMod val="95000"/>
                  <a:lumOff val="5000"/>
                </a:schemeClr>
              </a:solidFill>
            </a:rPr>
            <a:t>This</a:t>
          </a:r>
          <a:r>
            <a:rPr lang="en-IN" kern="1200" baseline="0">
              <a:solidFill>
                <a:schemeClr val="tx1">
                  <a:lumMod val="95000"/>
                  <a:lumOff val="5000"/>
                </a:schemeClr>
              </a:solidFill>
            </a:rPr>
            <a:t> chart indicates the Total Sales by the Gender.</a:t>
          </a:r>
        </a:p>
        <a:p xmlns:a="http://schemas.openxmlformats.org/drawingml/2006/main">
          <a:pPr algn="ctr"/>
          <a:r>
            <a:rPr lang="en-IN" kern="1200" baseline="0">
              <a:solidFill>
                <a:schemeClr val="tx1">
                  <a:lumMod val="95000"/>
                  <a:lumOff val="5000"/>
                </a:schemeClr>
              </a:solidFill>
            </a:rPr>
            <a:t>Males has moderately higher percentage than Female in terms of total sales.</a:t>
          </a:r>
          <a:endParaRPr lang="en-IN" kern="1200">
            <a:solidFill>
              <a:schemeClr val="tx1">
                <a:lumMod val="95000"/>
                <a:lumOff val="5000"/>
              </a:schemeClr>
            </a:solidFill>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3</xdr:col>
      <xdr:colOff>426720</xdr:colOff>
      <xdr:row>2</xdr:row>
      <xdr:rowOff>7620</xdr:rowOff>
    </xdr:from>
    <xdr:to>
      <xdr:col>11</xdr:col>
      <xdr:colOff>93617</xdr:colOff>
      <xdr:row>17</xdr:row>
      <xdr:rowOff>40277</xdr:rowOff>
    </xdr:to>
    <xdr:graphicFrame macro="">
      <xdr:nvGraphicFramePr>
        <xdr:cNvPr id="2" name="Chart 1">
          <a:extLst>
            <a:ext uri="{FF2B5EF4-FFF2-40B4-BE49-F238E27FC236}">
              <a16:creationId xmlns:a16="http://schemas.microsoft.com/office/drawing/2014/main" id="{AF08CCB9-529D-4299-A614-218A59BA3F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0.74</cdr:x>
      <cdr:y>0.30417</cdr:y>
    </cdr:from>
    <cdr:to>
      <cdr:x>0.965</cdr:x>
      <cdr:y>0.6625</cdr:y>
    </cdr:to>
    <cdr:sp macro="" textlink="">
      <cdr:nvSpPr>
        <cdr:cNvPr id="2" name="Rectangle 1">
          <a:extLst xmlns:a="http://schemas.openxmlformats.org/drawingml/2006/main">
            <a:ext uri="{FF2B5EF4-FFF2-40B4-BE49-F238E27FC236}">
              <a16:creationId xmlns:a16="http://schemas.microsoft.com/office/drawing/2014/main" id="{32069002-C856-FF9D-7D2D-28A0F28ECE84}"/>
            </a:ext>
          </a:extLst>
        </cdr:cNvPr>
        <cdr:cNvSpPr/>
      </cdr:nvSpPr>
      <cdr:spPr>
        <a:xfrm xmlns:a="http://schemas.openxmlformats.org/drawingml/2006/main">
          <a:off x="3383280" y="834390"/>
          <a:ext cx="1028700" cy="982980"/>
        </a:xfrm>
        <a:prstGeom xmlns:a="http://schemas.openxmlformats.org/drawingml/2006/main" prst="rect">
          <a:avLst/>
        </a:prstGeom>
        <a:solidFill xmlns:a="http://schemas.openxmlformats.org/drawingml/2006/main">
          <a:schemeClr val="accent3">
            <a:lumMod val="40000"/>
            <a:lumOff val="6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kern="1200">
              <a:solidFill>
                <a:sysClr val="windowText" lastClr="000000"/>
              </a:solidFill>
            </a:rPr>
            <a:t>This</a:t>
          </a:r>
          <a:r>
            <a:rPr lang="en-IN" kern="1200" baseline="0">
              <a:solidFill>
                <a:sysClr val="windowText" lastClr="000000"/>
              </a:solidFill>
            </a:rPr>
            <a:t> chart indicate the Total sale of the Product category wise.</a:t>
          </a:r>
          <a:endParaRPr lang="en-IN" kern="1200">
            <a:solidFill>
              <a:sysClr val="windowText" lastClr="000000"/>
            </a:solidFill>
          </a:endParaRPr>
        </a:p>
      </cdr:txBody>
    </cdr:sp>
  </cdr:relSizeAnchor>
</c:userShapes>
</file>

<file path=xl/drawings/drawing6.xml><?xml version="1.0" encoding="utf-8"?>
<xdr:wsDr xmlns:xdr="http://schemas.openxmlformats.org/drawingml/2006/spreadsheetDrawing" xmlns:a="http://schemas.openxmlformats.org/drawingml/2006/main">
  <xdr:twoCellAnchor>
    <xdr:from>
      <xdr:col>4</xdr:col>
      <xdr:colOff>0</xdr:colOff>
      <xdr:row>2</xdr:row>
      <xdr:rowOff>0</xdr:rowOff>
    </xdr:from>
    <xdr:to>
      <xdr:col>14</xdr:col>
      <xdr:colOff>101237</xdr:colOff>
      <xdr:row>17</xdr:row>
      <xdr:rowOff>32658</xdr:rowOff>
    </xdr:to>
    <xdr:graphicFrame macro="">
      <xdr:nvGraphicFramePr>
        <xdr:cNvPr id="2" name="Chart 1">
          <a:extLst>
            <a:ext uri="{FF2B5EF4-FFF2-40B4-BE49-F238E27FC236}">
              <a16:creationId xmlns:a16="http://schemas.microsoft.com/office/drawing/2014/main" id="{C8EB169E-B6FA-44BF-A0DE-30568CC869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0.80241</cdr:x>
      <cdr:y>0.1589</cdr:y>
    </cdr:from>
    <cdr:to>
      <cdr:x>0.9675</cdr:x>
      <cdr:y>0.93706</cdr:y>
    </cdr:to>
    <cdr:sp macro="" textlink="">
      <cdr:nvSpPr>
        <cdr:cNvPr id="3" name="Rectangle: Rounded Corners 2">
          <a:extLst xmlns:a="http://schemas.openxmlformats.org/drawingml/2006/main">
            <a:ext uri="{FF2B5EF4-FFF2-40B4-BE49-F238E27FC236}">
              <a16:creationId xmlns:a16="http://schemas.microsoft.com/office/drawing/2014/main" id="{D2407CED-1743-6CC8-88D4-A80889BBAA26}"/>
            </a:ext>
          </a:extLst>
        </cdr:cNvPr>
        <cdr:cNvSpPr/>
      </cdr:nvSpPr>
      <cdr:spPr>
        <a:xfrm xmlns:a="http://schemas.openxmlformats.org/drawingml/2006/main">
          <a:off x="4998947" y="441096"/>
          <a:ext cx="1028473" cy="2160046"/>
        </a:xfrm>
        <a:prstGeom xmlns:a="http://schemas.openxmlformats.org/drawingml/2006/main" prst="roundRect">
          <a:avLst/>
        </a:prstGeom>
        <a:solidFill xmlns:a="http://schemas.openxmlformats.org/drawingml/2006/main">
          <a:schemeClr val="accent2">
            <a:lumMod val="75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IN" kern="1200"/>
            <a:t>This Chart indicates</a:t>
          </a:r>
          <a:r>
            <a:rPr lang="en-IN" kern="1200" baseline="0"/>
            <a:t> which month has the higher and lower percentage of Total Sales.</a:t>
          </a:r>
          <a:endParaRPr lang="en-IN" kern="1200"/>
        </a:p>
      </cdr:txBody>
    </cdr:sp>
  </cdr:relSizeAnchor>
</c:userShapes>
</file>

<file path=xl/drawings/drawing8.xml><?xml version="1.0" encoding="utf-8"?>
<xdr:wsDr xmlns:xdr="http://schemas.openxmlformats.org/drawingml/2006/spreadsheetDrawing" xmlns:a="http://schemas.openxmlformats.org/drawingml/2006/main">
  <xdr:twoCellAnchor>
    <xdr:from>
      <xdr:col>6</xdr:col>
      <xdr:colOff>0</xdr:colOff>
      <xdr:row>1</xdr:row>
      <xdr:rowOff>0</xdr:rowOff>
    </xdr:from>
    <xdr:to>
      <xdr:col>13</xdr:col>
      <xdr:colOff>315686</xdr:colOff>
      <xdr:row>16</xdr:row>
      <xdr:rowOff>32657</xdr:rowOff>
    </xdr:to>
    <xdr:graphicFrame macro="">
      <xdr:nvGraphicFramePr>
        <xdr:cNvPr id="2" name="Chart 1">
          <a:extLst>
            <a:ext uri="{FF2B5EF4-FFF2-40B4-BE49-F238E27FC236}">
              <a16:creationId xmlns:a16="http://schemas.microsoft.com/office/drawing/2014/main" id="{A45095B0-8EF3-46E7-BB45-363DF0C97F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0.735</cdr:x>
      <cdr:y>0.1375</cdr:y>
    </cdr:from>
    <cdr:to>
      <cdr:x>0.97667</cdr:x>
      <cdr:y>0.90139</cdr:y>
    </cdr:to>
    <cdr:sp macro="" textlink="">
      <cdr:nvSpPr>
        <cdr:cNvPr id="2" name="Rectangle 1">
          <a:extLst xmlns:a="http://schemas.openxmlformats.org/drawingml/2006/main">
            <a:ext uri="{FF2B5EF4-FFF2-40B4-BE49-F238E27FC236}">
              <a16:creationId xmlns:a16="http://schemas.microsoft.com/office/drawing/2014/main" id="{67D761F1-8156-3073-18EB-825A4D6E5857}"/>
            </a:ext>
          </a:extLst>
        </cdr:cNvPr>
        <cdr:cNvSpPr/>
      </cdr:nvSpPr>
      <cdr:spPr>
        <a:xfrm xmlns:a="http://schemas.openxmlformats.org/drawingml/2006/main">
          <a:off x="3360420" y="377190"/>
          <a:ext cx="1104900" cy="2095500"/>
        </a:xfrm>
        <a:prstGeom xmlns:a="http://schemas.openxmlformats.org/drawingml/2006/main" prst="rect">
          <a:avLst/>
        </a:prstGeom>
        <a:solidFill xmlns:a="http://schemas.openxmlformats.org/drawingml/2006/main">
          <a:schemeClr val="accent2">
            <a:lumMod val="60000"/>
            <a:lumOff val="4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kern="1200"/>
            <a:t>This</a:t>
          </a:r>
          <a:r>
            <a:rPr lang="en-IN" kern="1200" baseline="0"/>
            <a:t> chart indicates the Total sales of North region is the highest then the west region is moderately higher than East and South has the lowest.</a:t>
          </a:r>
          <a:endParaRPr lang="en-IN" kern="1200"/>
        </a:p>
      </cdr:txBody>
    </cdr:sp>
  </cdr:relSizeAnchor>
</c:userShapes>
</file>

<file path=xl/drawings/drawing10.xml><?xml version="1.0" encoding="utf-8"?>
<xdr:wsDr xmlns:xdr="http://schemas.openxmlformats.org/drawingml/2006/spreadsheetDrawing" xmlns:a="http://schemas.openxmlformats.org/drawingml/2006/main">
  <xdr:twoCellAnchor>
    <xdr:from>
      <xdr:col>4</xdr:col>
      <xdr:colOff>0</xdr:colOff>
      <xdr:row>2</xdr:row>
      <xdr:rowOff>0</xdr:rowOff>
    </xdr:from>
    <xdr:to>
      <xdr:col>11</xdr:col>
      <xdr:colOff>302622</xdr:colOff>
      <xdr:row>16</xdr:row>
      <xdr:rowOff>152400</xdr:rowOff>
    </xdr:to>
    <xdr:graphicFrame macro="">
      <xdr:nvGraphicFramePr>
        <xdr:cNvPr id="2" name="Chart 1">
          <a:extLst>
            <a:ext uri="{FF2B5EF4-FFF2-40B4-BE49-F238E27FC236}">
              <a16:creationId xmlns:a16="http://schemas.microsoft.com/office/drawing/2014/main" id="{FF48E2B6-4C45-4779-B09F-AD0BDD666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464820</xdr:colOff>
      <xdr:row>2</xdr:row>
      <xdr:rowOff>30480</xdr:rowOff>
    </xdr:from>
    <xdr:to>
      <xdr:col>17</xdr:col>
      <xdr:colOff>7620</xdr:colOff>
      <xdr:row>6</xdr:row>
      <xdr:rowOff>15240</xdr:rowOff>
    </xdr:to>
    <xdr:sp macro="" textlink="">
      <xdr:nvSpPr>
        <xdr:cNvPr id="2" name="Rectangle 1">
          <a:extLst>
            <a:ext uri="{FF2B5EF4-FFF2-40B4-BE49-F238E27FC236}">
              <a16:creationId xmlns:a16="http://schemas.microsoft.com/office/drawing/2014/main" id="{0EB93FE7-9FD6-6D4D-AB88-5BE90A25CEF2}"/>
            </a:ext>
          </a:extLst>
        </xdr:cNvPr>
        <xdr:cNvSpPr/>
      </xdr:nvSpPr>
      <xdr:spPr>
        <a:xfrm>
          <a:off x="2293620" y="396240"/>
          <a:ext cx="8077200" cy="716280"/>
        </a:xfrm>
        <a:prstGeom prst="rect">
          <a:avLst/>
        </a:prstGeom>
        <a:solidFill>
          <a:schemeClr val="accent3">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2000" u="sng">
              <a:solidFill>
                <a:schemeClr val="accent2">
                  <a:lumMod val="50000"/>
                </a:schemeClr>
              </a:solidFill>
              <a:latin typeface="+mj-lt"/>
            </a:rPr>
            <a:t>Sales Revenue Dashboard</a:t>
          </a:r>
        </a:p>
      </xdr:txBody>
    </xdr:sp>
    <xdr:clientData/>
  </xdr:twoCellAnchor>
  <xdr:twoCellAnchor>
    <xdr:from>
      <xdr:col>3</xdr:col>
      <xdr:colOff>480060</xdr:colOff>
      <xdr:row>6</xdr:row>
      <xdr:rowOff>38100</xdr:rowOff>
    </xdr:from>
    <xdr:to>
      <xdr:col>6</xdr:col>
      <xdr:colOff>586740</xdr:colOff>
      <xdr:row>11</xdr:row>
      <xdr:rowOff>15240</xdr:rowOff>
    </xdr:to>
    <xdr:sp macro="" textlink="">
      <xdr:nvSpPr>
        <xdr:cNvPr id="3" name="Rectangle 2">
          <a:extLst>
            <a:ext uri="{FF2B5EF4-FFF2-40B4-BE49-F238E27FC236}">
              <a16:creationId xmlns:a16="http://schemas.microsoft.com/office/drawing/2014/main" id="{24FE685E-21C6-5602-7D0D-3A2984CA3AEE}"/>
            </a:ext>
          </a:extLst>
        </xdr:cNvPr>
        <xdr:cNvSpPr/>
      </xdr:nvSpPr>
      <xdr:spPr>
        <a:xfrm>
          <a:off x="2308860" y="1135380"/>
          <a:ext cx="1935480" cy="8915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chemeClr val="lt1"/>
              </a:solidFill>
              <a:latin typeface="+mn-lt"/>
              <a:ea typeface="+mn-ea"/>
              <a:cs typeface="+mn-cs"/>
            </a:rPr>
            <a:t>Total Sales</a:t>
          </a:r>
          <a:endParaRPr lang="en-IN" sz="1100" baseline="0">
            <a:solidFill>
              <a:schemeClr val="lt1"/>
            </a:solidFill>
            <a:latin typeface="+mn-lt"/>
            <a:ea typeface="+mn-ea"/>
            <a:cs typeface="+mn-cs"/>
          </a:endParaRPr>
        </a:p>
        <a:p>
          <a:pPr algn="ctr"/>
          <a:r>
            <a:rPr lang="en-IN" sz="1600">
              <a:solidFill>
                <a:schemeClr val="lt1"/>
              </a:solidFill>
              <a:latin typeface="+mn-lt"/>
              <a:ea typeface="+mn-ea"/>
              <a:cs typeface="+mn-cs"/>
            </a:rPr>
            <a:t>2668213</a:t>
          </a:r>
          <a:r>
            <a:rPr lang="en-IN">
              <a:effectLst/>
            </a:rPr>
            <a:t> </a:t>
          </a:r>
          <a:endParaRPr lang="en-IN" sz="1100"/>
        </a:p>
      </xdr:txBody>
    </xdr:sp>
    <xdr:clientData/>
  </xdr:twoCellAnchor>
  <xdr:twoCellAnchor>
    <xdr:from>
      <xdr:col>6</xdr:col>
      <xdr:colOff>579120</xdr:colOff>
      <xdr:row>6</xdr:row>
      <xdr:rowOff>15240</xdr:rowOff>
    </xdr:from>
    <xdr:to>
      <xdr:col>10</xdr:col>
      <xdr:colOff>175260</xdr:colOff>
      <xdr:row>11</xdr:row>
      <xdr:rowOff>7620</xdr:rowOff>
    </xdr:to>
    <xdr:sp macro="" textlink="">
      <xdr:nvSpPr>
        <xdr:cNvPr id="4" name="Rectangle 3">
          <a:extLst>
            <a:ext uri="{FF2B5EF4-FFF2-40B4-BE49-F238E27FC236}">
              <a16:creationId xmlns:a16="http://schemas.microsoft.com/office/drawing/2014/main" id="{477DC0E0-BD70-0F65-F2BB-90F319AF8CAE}"/>
            </a:ext>
          </a:extLst>
        </xdr:cNvPr>
        <xdr:cNvSpPr/>
      </xdr:nvSpPr>
      <xdr:spPr>
        <a:xfrm>
          <a:off x="4236720" y="1095895"/>
          <a:ext cx="2034540" cy="8929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600">
              <a:solidFill>
                <a:schemeClr val="lt1"/>
              </a:solidFill>
              <a:latin typeface="+mn-lt"/>
              <a:ea typeface="+mn-ea"/>
              <a:cs typeface="+mn-cs"/>
            </a:rPr>
            <a:t>Total Quantity Sold</a:t>
          </a:r>
        </a:p>
        <a:p>
          <a:pPr marL="0" indent="0" algn="ctr"/>
          <a:r>
            <a:rPr lang="en-IN" sz="1600">
              <a:solidFill>
                <a:schemeClr val="lt1"/>
              </a:solidFill>
              <a:latin typeface="+mn-lt"/>
              <a:ea typeface="+mn-ea"/>
              <a:cs typeface="+mn-cs"/>
            </a:rPr>
            <a:t>910</a:t>
          </a:r>
          <a:r>
            <a:rPr lang="en-IN" sz="1600">
              <a:effectLst/>
            </a:rPr>
            <a:t> </a:t>
          </a:r>
          <a:endParaRPr lang="en-IN" sz="1600">
            <a:solidFill>
              <a:schemeClr val="lt1"/>
            </a:solidFill>
            <a:latin typeface="+mn-lt"/>
            <a:ea typeface="+mn-ea"/>
            <a:cs typeface="+mn-cs"/>
          </a:endParaRPr>
        </a:p>
      </xdr:txBody>
    </xdr:sp>
    <xdr:clientData/>
  </xdr:twoCellAnchor>
  <xdr:twoCellAnchor>
    <xdr:from>
      <xdr:col>10</xdr:col>
      <xdr:colOff>160020</xdr:colOff>
      <xdr:row>6</xdr:row>
      <xdr:rowOff>38100</xdr:rowOff>
    </xdr:from>
    <xdr:to>
      <xdr:col>13</xdr:col>
      <xdr:colOff>381000</xdr:colOff>
      <xdr:row>11</xdr:row>
      <xdr:rowOff>7620</xdr:rowOff>
    </xdr:to>
    <xdr:sp macro="" textlink="">
      <xdr:nvSpPr>
        <xdr:cNvPr id="5" name="Rectangle 4">
          <a:extLst>
            <a:ext uri="{FF2B5EF4-FFF2-40B4-BE49-F238E27FC236}">
              <a16:creationId xmlns:a16="http://schemas.microsoft.com/office/drawing/2014/main" id="{9D75677E-2549-9D5E-5044-6CEA9B978A8F}"/>
            </a:ext>
          </a:extLst>
        </xdr:cNvPr>
        <xdr:cNvSpPr/>
      </xdr:nvSpPr>
      <xdr:spPr>
        <a:xfrm>
          <a:off x="6256020" y="1118755"/>
          <a:ext cx="2049780" cy="87006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600">
              <a:solidFill>
                <a:schemeClr val="lt1"/>
              </a:solidFill>
              <a:latin typeface="+mn-lt"/>
              <a:ea typeface="+mn-ea"/>
              <a:cs typeface="+mn-cs"/>
            </a:rPr>
            <a:t>Average Sales</a:t>
          </a:r>
        </a:p>
        <a:p>
          <a:pPr marL="0" indent="0" algn="ctr"/>
          <a:r>
            <a:rPr lang="en-IN" sz="1600">
              <a:solidFill>
                <a:schemeClr val="lt1"/>
              </a:solidFill>
              <a:latin typeface="+mn-lt"/>
              <a:ea typeface="+mn-ea"/>
              <a:cs typeface="+mn-cs"/>
            </a:rPr>
            <a:t>8894</a:t>
          </a:r>
          <a:r>
            <a:rPr lang="en-IN" sz="1600">
              <a:effectLst/>
            </a:rPr>
            <a:t> </a:t>
          </a:r>
          <a:endParaRPr lang="en-IN" sz="1600">
            <a:solidFill>
              <a:schemeClr val="lt1"/>
            </a:solidFill>
            <a:latin typeface="+mn-lt"/>
            <a:ea typeface="+mn-ea"/>
            <a:cs typeface="+mn-cs"/>
          </a:endParaRPr>
        </a:p>
      </xdr:txBody>
    </xdr:sp>
    <xdr:clientData/>
  </xdr:twoCellAnchor>
  <xdr:twoCellAnchor>
    <xdr:from>
      <xdr:col>13</xdr:col>
      <xdr:colOff>365760</xdr:colOff>
      <xdr:row>6</xdr:row>
      <xdr:rowOff>38100</xdr:rowOff>
    </xdr:from>
    <xdr:to>
      <xdr:col>17</xdr:col>
      <xdr:colOff>30480</xdr:colOff>
      <xdr:row>11</xdr:row>
      <xdr:rowOff>15240</xdr:rowOff>
    </xdr:to>
    <xdr:sp macro="" textlink="">
      <xdr:nvSpPr>
        <xdr:cNvPr id="6" name="Rectangle 5">
          <a:extLst>
            <a:ext uri="{FF2B5EF4-FFF2-40B4-BE49-F238E27FC236}">
              <a16:creationId xmlns:a16="http://schemas.microsoft.com/office/drawing/2014/main" id="{5496CAF2-51DA-2BCB-23F1-43A735B30D7F}"/>
            </a:ext>
          </a:extLst>
        </xdr:cNvPr>
        <xdr:cNvSpPr/>
      </xdr:nvSpPr>
      <xdr:spPr>
        <a:xfrm>
          <a:off x="8290560" y="1118755"/>
          <a:ext cx="2103120" cy="87768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t>Total Order</a:t>
          </a:r>
        </a:p>
        <a:p>
          <a:pPr algn="ctr"/>
          <a:r>
            <a:rPr lang="en-IN" sz="1600">
              <a:solidFill>
                <a:schemeClr val="lt1"/>
              </a:solidFill>
              <a:latin typeface="+mn-lt"/>
              <a:ea typeface="+mn-ea"/>
              <a:cs typeface="+mn-cs"/>
            </a:rPr>
            <a:t>300</a:t>
          </a:r>
        </a:p>
        <a:p>
          <a:pPr algn="ctr"/>
          <a:endParaRPr lang="en-IN" sz="1600"/>
        </a:p>
      </xdr:txBody>
    </xdr:sp>
    <xdr:clientData/>
  </xdr:twoCellAnchor>
  <xdr:twoCellAnchor>
    <xdr:from>
      <xdr:col>3</xdr:col>
      <xdr:colOff>472440</xdr:colOff>
      <xdr:row>10</xdr:row>
      <xdr:rowOff>167640</xdr:rowOff>
    </xdr:from>
    <xdr:to>
      <xdr:col>17</xdr:col>
      <xdr:colOff>38100</xdr:colOff>
      <xdr:row>22</xdr:row>
      <xdr:rowOff>60960</xdr:rowOff>
    </xdr:to>
    <xdr:sp macro="" textlink="">
      <xdr:nvSpPr>
        <xdr:cNvPr id="7" name="Rectangle 6">
          <a:extLst>
            <a:ext uri="{FF2B5EF4-FFF2-40B4-BE49-F238E27FC236}">
              <a16:creationId xmlns:a16="http://schemas.microsoft.com/office/drawing/2014/main" id="{0C8B27D4-E38E-4EC6-934C-58EBB59BFF4B}"/>
            </a:ext>
          </a:extLst>
        </xdr:cNvPr>
        <xdr:cNvSpPr/>
      </xdr:nvSpPr>
      <xdr:spPr>
        <a:xfrm>
          <a:off x="2301240" y="1968731"/>
          <a:ext cx="8100060" cy="2054629"/>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464820</xdr:colOff>
      <xdr:row>22</xdr:row>
      <xdr:rowOff>60960</xdr:rowOff>
    </xdr:from>
    <xdr:to>
      <xdr:col>17</xdr:col>
      <xdr:colOff>38100</xdr:colOff>
      <xdr:row>36</xdr:row>
      <xdr:rowOff>0</xdr:rowOff>
    </xdr:to>
    <xdr:sp macro="" textlink="">
      <xdr:nvSpPr>
        <xdr:cNvPr id="8" name="Rectangle 7">
          <a:extLst>
            <a:ext uri="{FF2B5EF4-FFF2-40B4-BE49-F238E27FC236}">
              <a16:creationId xmlns:a16="http://schemas.microsoft.com/office/drawing/2014/main" id="{3566FB63-0D14-B1F0-2F17-EDDC27FD5C13}"/>
            </a:ext>
          </a:extLst>
        </xdr:cNvPr>
        <xdr:cNvSpPr/>
      </xdr:nvSpPr>
      <xdr:spPr>
        <a:xfrm>
          <a:off x="2293620" y="4084320"/>
          <a:ext cx="8107680" cy="24993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441960</xdr:colOff>
      <xdr:row>36</xdr:row>
      <xdr:rowOff>15240</xdr:rowOff>
    </xdr:from>
    <xdr:to>
      <xdr:col>17</xdr:col>
      <xdr:colOff>38100</xdr:colOff>
      <xdr:row>47</xdr:row>
      <xdr:rowOff>83820</xdr:rowOff>
    </xdr:to>
    <xdr:sp macro="" textlink="">
      <xdr:nvSpPr>
        <xdr:cNvPr id="9" name="Rectangle 8">
          <a:extLst>
            <a:ext uri="{FF2B5EF4-FFF2-40B4-BE49-F238E27FC236}">
              <a16:creationId xmlns:a16="http://schemas.microsoft.com/office/drawing/2014/main" id="{FC29569F-BD9B-7E9D-2061-EEF142DAD554}"/>
            </a:ext>
          </a:extLst>
        </xdr:cNvPr>
        <xdr:cNvSpPr/>
      </xdr:nvSpPr>
      <xdr:spPr>
        <a:xfrm>
          <a:off x="2270760" y="6598920"/>
          <a:ext cx="8130540" cy="20802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472440</xdr:colOff>
      <xdr:row>10</xdr:row>
      <xdr:rowOff>152400</xdr:rowOff>
    </xdr:from>
    <xdr:to>
      <xdr:col>10</xdr:col>
      <xdr:colOff>346364</xdr:colOff>
      <xdr:row>22</xdr:row>
      <xdr:rowOff>83820</xdr:rowOff>
    </xdr:to>
    <xdr:graphicFrame macro="">
      <xdr:nvGraphicFramePr>
        <xdr:cNvPr id="10" name="Chart 9">
          <a:extLst>
            <a:ext uri="{FF2B5EF4-FFF2-40B4-BE49-F238E27FC236}">
              <a16:creationId xmlns:a16="http://schemas.microsoft.com/office/drawing/2014/main" id="{137B994A-303F-46AD-AE37-80F83CE33C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441960</xdr:colOff>
      <xdr:row>36</xdr:row>
      <xdr:rowOff>15240</xdr:rowOff>
    </xdr:from>
    <xdr:to>
      <xdr:col>17</xdr:col>
      <xdr:colOff>30480</xdr:colOff>
      <xdr:row>47</xdr:row>
      <xdr:rowOff>38100</xdr:rowOff>
    </xdr:to>
    <xdr:graphicFrame macro="">
      <xdr:nvGraphicFramePr>
        <xdr:cNvPr id="11" name="Chart 10">
          <a:extLst>
            <a:ext uri="{FF2B5EF4-FFF2-40B4-BE49-F238E27FC236}">
              <a16:creationId xmlns:a16="http://schemas.microsoft.com/office/drawing/2014/main" id="{59AC987D-602F-4A82-837E-7D42A010C9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464820</xdr:colOff>
      <xdr:row>22</xdr:row>
      <xdr:rowOff>60961</xdr:rowOff>
    </xdr:from>
    <xdr:to>
      <xdr:col>10</xdr:col>
      <xdr:colOff>213360</xdr:colOff>
      <xdr:row>35</xdr:row>
      <xdr:rowOff>137161</xdr:rowOff>
    </xdr:to>
    <xdr:graphicFrame macro="">
      <xdr:nvGraphicFramePr>
        <xdr:cNvPr id="12" name="Chart 11">
          <a:extLst>
            <a:ext uri="{FF2B5EF4-FFF2-40B4-BE49-F238E27FC236}">
              <a16:creationId xmlns:a16="http://schemas.microsoft.com/office/drawing/2014/main" id="{CDB94D1B-1FB9-47B2-BD74-D11F1C9043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243840</xdr:colOff>
      <xdr:row>22</xdr:row>
      <xdr:rowOff>60961</xdr:rowOff>
    </xdr:from>
    <xdr:to>
      <xdr:col>17</xdr:col>
      <xdr:colOff>71846</xdr:colOff>
      <xdr:row>35</xdr:row>
      <xdr:rowOff>152400</xdr:rowOff>
    </xdr:to>
    <xdr:graphicFrame macro="">
      <xdr:nvGraphicFramePr>
        <xdr:cNvPr id="13" name="Chart 12">
          <a:extLst>
            <a:ext uri="{FF2B5EF4-FFF2-40B4-BE49-F238E27FC236}">
              <a16:creationId xmlns:a16="http://schemas.microsoft.com/office/drawing/2014/main" id="{2C918DA0-0505-42AF-8D65-27E67A045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360218</xdr:colOff>
      <xdr:row>11</xdr:row>
      <xdr:rowOff>13854</xdr:rowOff>
    </xdr:from>
    <xdr:to>
      <xdr:col>17</xdr:col>
      <xdr:colOff>55418</xdr:colOff>
      <xdr:row>22</xdr:row>
      <xdr:rowOff>83128</xdr:rowOff>
    </xdr:to>
    <mc:AlternateContent xmlns:mc="http://schemas.openxmlformats.org/markup-compatibility/2006" xmlns:a14="http://schemas.microsoft.com/office/drawing/2010/main">
      <mc:Choice Requires="a14">
        <xdr:graphicFrame macro="">
          <xdr:nvGraphicFramePr>
            <xdr:cNvPr id="18" name="Product">
              <a:extLst>
                <a:ext uri="{FF2B5EF4-FFF2-40B4-BE49-F238E27FC236}">
                  <a16:creationId xmlns:a16="http://schemas.microsoft.com/office/drawing/2014/main" id="{0F4D0BBD-BAC6-ACE6-368C-1C09A817B9D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894618" y="2025534"/>
              <a:ext cx="1524000" cy="20809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360218</xdr:colOff>
      <xdr:row>10</xdr:row>
      <xdr:rowOff>160021</xdr:rowOff>
    </xdr:from>
    <xdr:to>
      <xdr:col>14</xdr:col>
      <xdr:colOff>388619</xdr:colOff>
      <xdr:row>22</xdr:row>
      <xdr:rowOff>27709</xdr:rowOff>
    </xdr:to>
    <xdr:graphicFrame macro="">
      <xdr:nvGraphicFramePr>
        <xdr:cNvPr id="21" name="Chart 20">
          <a:extLst>
            <a:ext uri="{FF2B5EF4-FFF2-40B4-BE49-F238E27FC236}">
              <a16:creationId xmlns:a16="http://schemas.microsoft.com/office/drawing/2014/main" id="{DE619406-B010-4AA9-8817-02ADE4F0BE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441960</xdr:colOff>
      <xdr:row>5</xdr:row>
      <xdr:rowOff>76200</xdr:rowOff>
    </xdr:from>
    <xdr:to>
      <xdr:col>23</xdr:col>
      <xdr:colOff>190500</xdr:colOff>
      <xdr:row>15</xdr:row>
      <xdr:rowOff>91440</xdr:rowOff>
    </xdr:to>
    <xdr:sp macro="" textlink="">
      <xdr:nvSpPr>
        <xdr:cNvPr id="22" name="Rectangle: Rounded Corners 21">
          <a:extLst>
            <a:ext uri="{FF2B5EF4-FFF2-40B4-BE49-F238E27FC236}">
              <a16:creationId xmlns:a16="http://schemas.microsoft.com/office/drawing/2014/main" id="{345A07E7-5238-D8B9-6BD9-3D9F70C1B816}"/>
            </a:ext>
          </a:extLst>
        </xdr:cNvPr>
        <xdr:cNvSpPr/>
      </xdr:nvSpPr>
      <xdr:spPr>
        <a:xfrm>
          <a:off x="10805160" y="990600"/>
          <a:ext cx="3406140" cy="184404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This dashboard</a:t>
          </a:r>
          <a:r>
            <a:rPr lang="en-IN" sz="1100" baseline="0">
              <a:solidFill>
                <a:schemeClr val="tx1"/>
              </a:solidFill>
            </a:rPr>
            <a:t> analyzes the sales performance across the region, month, product, gender and quantity.</a:t>
          </a:r>
          <a:endParaRPr lang="en-IN" sz="1100">
            <a:solidFill>
              <a:schemeClr val="tx1"/>
            </a:solidFill>
          </a:endParaRPr>
        </a:p>
        <a:p>
          <a:pPr algn="l"/>
          <a:r>
            <a:rPr lang="en-IN" sz="1100">
              <a:solidFill>
                <a:schemeClr val="tx1"/>
              </a:solidFill>
            </a:rPr>
            <a:t>1.</a:t>
          </a:r>
          <a:r>
            <a:rPr lang="en-IN" sz="1100" baseline="0">
              <a:solidFill>
                <a:schemeClr val="tx1"/>
              </a:solidFill>
            </a:rPr>
            <a:t> Males has higher sales of the product.</a:t>
          </a:r>
        </a:p>
        <a:p>
          <a:pPr algn="l"/>
          <a:r>
            <a:rPr lang="en-IN" sz="1100" baseline="0">
              <a:solidFill>
                <a:schemeClr val="tx1"/>
              </a:solidFill>
            </a:rPr>
            <a:t>2. Laptop has highest sales out of all the products.</a:t>
          </a:r>
        </a:p>
        <a:p>
          <a:pPr algn="l"/>
          <a:r>
            <a:rPr lang="en-IN" sz="1100" baseline="0">
              <a:solidFill>
                <a:schemeClr val="tx1"/>
              </a:solidFill>
            </a:rPr>
            <a:t>3.North region has the higher sales then the rest of the region.</a:t>
          </a:r>
        </a:p>
        <a:p>
          <a:pPr algn="l"/>
          <a:r>
            <a:rPr lang="en-IN" sz="1100" baseline="0">
              <a:solidFill>
                <a:schemeClr val="tx1"/>
              </a:solidFill>
            </a:rPr>
            <a:t>4. Month of June is the highest sales month.</a:t>
          </a:r>
        </a:p>
        <a:p>
          <a:pPr algn="l"/>
          <a:r>
            <a:rPr lang="en-IN" sz="1100" baseline="0">
              <a:solidFill>
                <a:schemeClr val="tx1"/>
              </a:solidFill>
            </a:rPr>
            <a:t>5. Add slicer helps to see the sales product wise.</a:t>
          </a:r>
          <a:endParaRPr lang="en-IN" sz="1100">
            <a:solidFill>
              <a:schemeClr val="tx1"/>
            </a:solidFill>
          </a:endParaRPr>
        </a:p>
      </xdr:txBody>
    </xdr:sp>
    <xdr:clientData/>
  </xdr:twoCellAnchor>
  <xdr:twoCellAnchor>
    <xdr:from>
      <xdr:col>17</xdr:col>
      <xdr:colOff>472440</xdr:colOff>
      <xdr:row>2</xdr:row>
      <xdr:rowOff>144780</xdr:rowOff>
    </xdr:from>
    <xdr:to>
      <xdr:col>23</xdr:col>
      <xdr:colOff>99060</xdr:colOff>
      <xdr:row>5</xdr:row>
      <xdr:rowOff>60960</xdr:rowOff>
    </xdr:to>
    <xdr:sp macro="" textlink="">
      <xdr:nvSpPr>
        <xdr:cNvPr id="23" name="Rectangle 22">
          <a:extLst>
            <a:ext uri="{FF2B5EF4-FFF2-40B4-BE49-F238E27FC236}">
              <a16:creationId xmlns:a16="http://schemas.microsoft.com/office/drawing/2014/main" id="{4EACD6DF-707F-3388-53FD-E21BECE6132E}"/>
            </a:ext>
          </a:extLst>
        </xdr:cNvPr>
        <xdr:cNvSpPr/>
      </xdr:nvSpPr>
      <xdr:spPr>
        <a:xfrm>
          <a:off x="10835640" y="510540"/>
          <a:ext cx="3284220" cy="4648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u="sng">
              <a:solidFill>
                <a:schemeClr val="accent2">
                  <a:lumMod val="75000"/>
                </a:schemeClr>
              </a:solidFill>
              <a:latin typeface="+mj-lt"/>
            </a:rPr>
            <a:t>Dash</a:t>
          </a:r>
          <a:r>
            <a:rPr lang="en-IN" sz="1800" b="1" u="sng" baseline="0">
              <a:solidFill>
                <a:schemeClr val="accent2">
                  <a:lumMod val="75000"/>
                </a:schemeClr>
              </a:solidFill>
              <a:latin typeface="+mj-lt"/>
            </a:rPr>
            <a:t>board Insights:</a:t>
          </a:r>
          <a:endParaRPr lang="en-IN" sz="1800" b="1" u="sng">
            <a:solidFill>
              <a:schemeClr val="accent2">
                <a:lumMod val="75000"/>
              </a:schemeClr>
            </a:solidFill>
            <a:latin typeface="+mj-lt"/>
          </a:endParaRPr>
        </a:p>
      </xdr:txBody>
    </xdr:sp>
    <xdr:clientData/>
  </xdr:twoCellAnchor>
</xdr:wsDr>
</file>

<file path=xl/drawings/drawing12.xml><?xml version="1.0" encoding="utf-8"?>
<c:userShapes xmlns:c="http://schemas.openxmlformats.org/drawingml/2006/chart">
  <cdr:relSizeAnchor xmlns:cdr="http://schemas.openxmlformats.org/drawingml/2006/chartDrawing">
    <cdr:from>
      <cdr:x>0.56667</cdr:x>
      <cdr:y>0.18689</cdr:y>
    </cdr:from>
    <cdr:to>
      <cdr:x>0.96333</cdr:x>
      <cdr:y>0.64156</cdr:y>
    </cdr:to>
    <cdr:sp macro="" textlink="">
      <cdr:nvSpPr>
        <cdr:cNvPr id="2" name="Rectangle: Rounded Corners 1">
          <a:extLst xmlns:a="http://schemas.openxmlformats.org/drawingml/2006/main">
            <a:ext uri="{FF2B5EF4-FFF2-40B4-BE49-F238E27FC236}">
              <a16:creationId xmlns:a16="http://schemas.microsoft.com/office/drawing/2014/main" id="{03F1D3E4-F3D7-A46D-FE47-230ADFABC63B}"/>
            </a:ext>
          </a:extLst>
        </cdr:cNvPr>
        <cdr:cNvSpPr/>
      </cdr:nvSpPr>
      <cdr:spPr>
        <a:xfrm xmlns:a="http://schemas.openxmlformats.org/drawingml/2006/main">
          <a:off x="2590800" y="510540"/>
          <a:ext cx="1813560" cy="1242060"/>
        </a:xfrm>
        <a:prstGeom xmlns:a="http://schemas.openxmlformats.org/drawingml/2006/main" prst="roundRect">
          <a:avLst/>
        </a:prstGeom>
        <a:solidFill xmlns:a="http://schemas.openxmlformats.org/drawingml/2006/main">
          <a:schemeClr val="accent2">
            <a:lumMod val="20000"/>
            <a:lumOff val="8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IN" kern="1200">
              <a:solidFill>
                <a:schemeClr val="tx1">
                  <a:lumMod val="95000"/>
                  <a:lumOff val="5000"/>
                </a:schemeClr>
              </a:solidFill>
            </a:rPr>
            <a:t>This</a:t>
          </a:r>
          <a:r>
            <a:rPr lang="en-IN" kern="1200" baseline="0">
              <a:solidFill>
                <a:schemeClr val="tx1">
                  <a:lumMod val="95000"/>
                  <a:lumOff val="5000"/>
                </a:schemeClr>
              </a:solidFill>
            </a:rPr>
            <a:t> chart indicates the Total Sales by the Gender.</a:t>
          </a:r>
        </a:p>
        <a:p xmlns:a="http://schemas.openxmlformats.org/drawingml/2006/main">
          <a:pPr algn="ctr"/>
          <a:r>
            <a:rPr lang="en-IN" kern="1200" baseline="0">
              <a:solidFill>
                <a:schemeClr val="tx1">
                  <a:lumMod val="95000"/>
                  <a:lumOff val="5000"/>
                </a:schemeClr>
              </a:solidFill>
            </a:rPr>
            <a:t>Males has moderately higher percentage than Female in terms of total sales.</a:t>
          </a:r>
          <a:endParaRPr lang="en-IN" kern="1200">
            <a:solidFill>
              <a:schemeClr val="tx1">
                <a:lumMod val="95000"/>
                <a:lumOff val="5000"/>
              </a:schemeClr>
            </a:solidFill>
          </a:endParaRPr>
        </a:p>
      </cdr:txBody>
    </cdr:sp>
  </cdr:relSizeAnchor>
</c:userShapes>
</file>

<file path=xl/drawings/drawing13.xml><?xml version="1.0" encoding="utf-8"?>
<c:userShapes xmlns:c="http://schemas.openxmlformats.org/drawingml/2006/chart">
  <cdr:relSizeAnchor xmlns:cdr="http://schemas.openxmlformats.org/drawingml/2006/chartDrawing">
    <cdr:from>
      <cdr:x>0.80923</cdr:x>
      <cdr:y>0.22803</cdr:y>
    </cdr:from>
    <cdr:to>
      <cdr:x>0.97237</cdr:x>
      <cdr:y>0.87729</cdr:y>
    </cdr:to>
    <cdr:sp macro="" textlink="">
      <cdr:nvSpPr>
        <cdr:cNvPr id="3" name="Rectangle: Rounded Corners 2">
          <a:extLst xmlns:a="http://schemas.openxmlformats.org/drawingml/2006/main">
            <a:ext uri="{FF2B5EF4-FFF2-40B4-BE49-F238E27FC236}">
              <a16:creationId xmlns:a16="http://schemas.microsoft.com/office/drawing/2014/main" id="{D2407CED-1743-6CC8-88D4-A80889BBAA26}"/>
            </a:ext>
          </a:extLst>
        </cdr:cNvPr>
        <cdr:cNvSpPr/>
      </cdr:nvSpPr>
      <cdr:spPr>
        <a:xfrm xmlns:a="http://schemas.openxmlformats.org/drawingml/2006/main">
          <a:off x="6573331" y="456992"/>
          <a:ext cx="1325146" cy="1301152"/>
        </a:xfrm>
        <a:prstGeom xmlns:a="http://schemas.openxmlformats.org/drawingml/2006/main" prst="roundRect">
          <a:avLst/>
        </a:prstGeom>
        <a:solidFill xmlns:a="http://schemas.openxmlformats.org/drawingml/2006/main">
          <a:schemeClr val="accent2">
            <a:lumMod val="75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IN" kern="1200"/>
            <a:t>This Chart indicates</a:t>
          </a:r>
          <a:r>
            <a:rPr lang="en-IN" kern="1200" baseline="0"/>
            <a:t> which month has the higher and lower percentage of Total Sales.</a:t>
          </a:r>
          <a:endParaRPr lang="en-IN" kern="1200"/>
        </a:p>
      </cdr:txBody>
    </cdr:sp>
  </cdr:relSizeAnchor>
</c:userShapes>
</file>

<file path=xl/drawings/drawing14.xml><?xml version="1.0" encoding="utf-8"?>
<c:userShapes xmlns:c="http://schemas.openxmlformats.org/drawingml/2006/chart">
  <cdr:relSizeAnchor xmlns:cdr="http://schemas.openxmlformats.org/drawingml/2006/chartDrawing">
    <cdr:from>
      <cdr:x>0.74</cdr:x>
      <cdr:y>0.30417</cdr:y>
    </cdr:from>
    <cdr:to>
      <cdr:x>0.965</cdr:x>
      <cdr:y>0.6625</cdr:y>
    </cdr:to>
    <cdr:sp macro="" textlink="">
      <cdr:nvSpPr>
        <cdr:cNvPr id="2" name="Rectangle 1">
          <a:extLst xmlns:a="http://schemas.openxmlformats.org/drawingml/2006/main">
            <a:ext uri="{FF2B5EF4-FFF2-40B4-BE49-F238E27FC236}">
              <a16:creationId xmlns:a16="http://schemas.microsoft.com/office/drawing/2014/main" id="{32069002-C856-FF9D-7D2D-28A0F28ECE84}"/>
            </a:ext>
          </a:extLst>
        </cdr:cNvPr>
        <cdr:cNvSpPr/>
      </cdr:nvSpPr>
      <cdr:spPr>
        <a:xfrm xmlns:a="http://schemas.openxmlformats.org/drawingml/2006/main">
          <a:off x="3383280" y="834390"/>
          <a:ext cx="1028700" cy="982980"/>
        </a:xfrm>
        <a:prstGeom xmlns:a="http://schemas.openxmlformats.org/drawingml/2006/main" prst="rect">
          <a:avLst/>
        </a:prstGeom>
        <a:solidFill xmlns:a="http://schemas.openxmlformats.org/drawingml/2006/main">
          <a:schemeClr val="accent3">
            <a:lumMod val="40000"/>
            <a:lumOff val="6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kern="1200">
              <a:solidFill>
                <a:sysClr val="windowText" lastClr="000000"/>
              </a:solidFill>
            </a:rPr>
            <a:t>This</a:t>
          </a:r>
          <a:r>
            <a:rPr lang="en-IN" kern="1200" baseline="0">
              <a:solidFill>
                <a:sysClr val="windowText" lastClr="000000"/>
              </a:solidFill>
            </a:rPr>
            <a:t> chart indicate the Total sale of the Product category wise.</a:t>
          </a:r>
          <a:endParaRPr lang="en-IN" kern="1200">
            <a:solidFill>
              <a:sysClr val="windowText" lastClr="000000"/>
            </a:solidFill>
          </a:endParaRPr>
        </a:p>
      </cdr:txBody>
    </cdr:sp>
  </cdr:relSizeAnchor>
</c:userShapes>
</file>

<file path=xl/drawings/drawing15.xml><?xml version="1.0" encoding="utf-8"?>
<c:userShapes xmlns:c="http://schemas.openxmlformats.org/drawingml/2006/chart">
  <cdr:relSizeAnchor xmlns:cdr="http://schemas.openxmlformats.org/drawingml/2006/chartDrawing">
    <cdr:from>
      <cdr:x>0.735</cdr:x>
      <cdr:y>0.1375</cdr:y>
    </cdr:from>
    <cdr:to>
      <cdr:x>0.97667</cdr:x>
      <cdr:y>0.90139</cdr:y>
    </cdr:to>
    <cdr:sp macro="" textlink="">
      <cdr:nvSpPr>
        <cdr:cNvPr id="2" name="Rectangle 1">
          <a:extLst xmlns:a="http://schemas.openxmlformats.org/drawingml/2006/main">
            <a:ext uri="{FF2B5EF4-FFF2-40B4-BE49-F238E27FC236}">
              <a16:creationId xmlns:a16="http://schemas.microsoft.com/office/drawing/2014/main" id="{67D761F1-8156-3073-18EB-825A4D6E5857}"/>
            </a:ext>
          </a:extLst>
        </cdr:cNvPr>
        <cdr:cNvSpPr/>
      </cdr:nvSpPr>
      <cdr:spPr>
        <a:xfrm xmlns:a="http://schemas.openxmlformats.org/drawingml/2006/main">
          <a:off x="3360420" y="377190"/>
          <a:ext cx="1104900" cy="2095500"/>
        </a:xfrm>
        <a:prstGeom xmlns:a="http://schemas.openxmlformats.org/drawingml/2006/main" prst="rect">
          <a:avLst/>
        </a:prstGeom>
        <a:solidFill xmlns:a="http://schemas.openxmlformats.org/drawingml/2006/main">
          <a:schemeClr val="accent2">
            <a:lumMod val="60000"/>
            <a:lumOff val="4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kern="1200"/>
            <a:t>This</a:t>
          </a:r>
          <a:r>
            <a:rPr lang="en-IN" kern="1200" baseline="0"/>
            <a:t> chart indicates the Total sales of North region is the highest then the west region is moderately higher than East and South has the lowest.</a:t>
          </a:r>
          <a:endParaRPr lang="en-IN"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nce singh" refreshedDate="46092.6583875" createdVersion="8" refreshedVersion="8" minRefreshableVersion="3" recordCount="300" xr:uid="{D31CE193-A284-4560-98E9-69DC635D7A9F}">
  <cacheSource type="worksheet">
    <worksheetSource ref="A1:J301" sheet="Raw Data"/>
  </cacheSource>
  <cacheFields count="10">
    <cacheField name="Order_ID" numFmtId="0">
      <sharedItems containsSemiMixedTypes="0" containsString="0" containsNumber="1" containsInteger="1" minValue="1" maxValue="300"/>
    </cacheField>
    <cacheField name="Date" numFmtId="0">
      <sharedItems/>
    </cacheField>
    <cacheField name="Product" numFmtId="0">
      <sharedItems count="7">
        <s v="Laptop"/>
        <s v="Backpack"/>
        <s v="T-Shirt"/>
        <s v="Headphones"/>
        <s v="Phone"/>
        <s v="Watch"/>
        <s v="Shoes"/>
      </sharedItems>
    </cacheField>
    <cacheField name="Category" numFmtId="0">
      <sharedItems count="3">
        <s v="Electronics"/>
        <s v="Accessories"/>
        <s v="Fashion"/>
      </sharedItems>
    </cacheField>
    <cacheField name="Region" numFmtId="0">
      <sharedItems count="4">
        <s v="North"/>
        <s v="West"/>
        <s v="East"/>
        <s v="South"/>
      </sharedItems>
    </cacheField>
    <cacheField name="Customer_Gender" numFmtId="0">
      <sharedItems count="2">
        <s v="Male"/>
        <s v="Female"/>
      </sharedItems>
    </cacheField>
    <cacheField name="Quantity" numFmtId="0">
      <sharedItems containsSemiMixedTypes="0" containsString="0" containsNumber="1" containsInteger="1" minValue="1" maxValue="5" count="5">
        <n v="2"/>
        <n v="1"/>
        <n v="5"/>
        <n v="4"/>
        <n v="3"/>
      </sharedItems>
    </cacheField>
    <cacheField name="Day type" numFmtId="0">
      <sharedItems/>
    </cacheField>
    <cacheField name="Month" numFmtId="0">
      <sharedItems count="12">
        <s v="Apr"/>
        <s v="Dec"/>
        <s v="Feb"/>
        <s v="Mar"/>
        <s v="Sep"/>
        <s v="Oct"/>
        <s v="May"/>
        <s v="Jun"/>
        <s v="Jul"/>
        <s v="Aug"/>
        <s v="Nov"/>
        <s v="Jan"/>
      </sharedItems>
    </cacheField>
    <cacheField name="Sales" numFmtId="0">
      <sharedItems containsSemiMixedTypes="0" containsString="0" containsNumber="1" containsInteger="1" minValue="584" maxValue="24810" count="296">
        <n v="9136"/>
        <n v="4268"/>
        <n v="1060"/>
        <n v="22465"/>
        <n v="11410"/>
        <n v="18640"/>
        <n v="15380"/>
        <n v="2984"/>
        <n v="22110"/>
        <n v="9820"/>
        <n v="4051"/>
        <n v="3937"/>
        <n v="15550"/>
        <n v="10385"/>
        <n v="2326"/>
        <n v="3710"/>
        <n v="1466"/>
        <n v="17640"/>
        <n v="3616"/>
        <n v="24275"/>
        <n v="11046"/>
        <n v="16240"/>
        <n v="15600"/>
        <n v="9864"/>
        <n v="5150"/>
        <n v="1484"/>
        <n v="19700"/>
        <n v="4035"/>
        <n v="4941"/>
        <n v="2706"/>
        <n v="1911"/>
        <n v="19285"/>
        <n v="24810"/>
        <n v="22085"/>
        <n v="19360"/>
        <n v="4486"/>
        <n v="8835"/>
        <n v="7240"/>
        <n v="2439"/>
        <n v="4255"/>
        <n v="1763"/>
        <n v="1405"/>
        <n v="1418"/>
        <n v="9166"/>
        <n v="23560"/>
        <n v="19840"/>
        <n v="3345"/>
        <n v="23165"/>
        <n v="10860"/>
        <n v="2950"/>
        <n v="3477"/>
        <n v="2120"/>
        <n v="2531"/>
        <n v="9534"/>
        <n v="584"/>
        <n v="4190"/>
        <n v="9278"/>
        <n v="16720"/>
        <n v="15200"/>
        <n v="6992"/>
        <n v="8304"/>
        <n v="8338"/>
        <n v="14376"/>
        <n v="3068"/>
        <n v="7160"/>
        <n v="13272"/>
        <n v="14994"/>
        <n v="2945"/>
        <n v="3730"/>
        <n v="8960"/>
        <n v="16556"/>
        <n v="12762"/>
        <n v="19516"/>
        <n v="4467"/>
        <n v="12465"/>
        <n v="14108"/>
        <n v="3583"/>
        <n v="4520"/>
        <n v="8698"/>
        <n v="4821"/>
        <n v="7216"/>
        <n v="1635"/>
        <n v="10254"/>
        <n v="8768"/>
        <n v="8948"/>
        <n v="4225"/>
        <n v="4915"/>
        <n v="2823"/>
        <n v="17835"/>
        <n v="7274"/>
        <n v="14020"/>
        <n v="20115"/>
        <n v="18804"/>
        <n v="6930"/>
        <n v="13278"/>
        <n v="4052"/>
        <n v="8762"/>
        <n v="7305"/>
        <n v="11585"/>
        <n v="4648"/>
        <n v="15460"/>
        <n v="19235"/>
        <n v="22100"/>
        <n v="14724"/>
        <n v="8276"/>
        <n v="17270"/>
        <n v="22435"/>
        <n v="6395"/>
        <n v="3508"/>
        <n v="1481"/>
        <n v="2505"/>
        <n v="7220"/>
        <n v="9212"/>
        <n v="3859"/>
        <n v="9645"/>
        <n v="8388"/>
        <n v="4995"/>
        <n v="12990"/>
        <n v="6159"/>
        <n v="3660"/>
        <n v="8526"/>
        <n v="2292"/>
        <n v="11691"/>
        <n v="4539"/>
        <n v="5638"/>
        <n v="8490"/>
        <n v="1452"/>
        <n v="2848"/>
        <n v="10130"/>
        <n v="4300"/>
        <n v="10224"/>
        <n v="1341"/>
        <n v="6180"/>
        <n v="2324"/>
        <n v="14196"/>
        <n v="12816"/>
        <n v="10170"/>
        <n v="16332"/>
        <n v="15296"/>
        <n v="7575"/>
        <n v="4584"/>
        <n v="6860"/>
        <n v="21465"/>
        <n v="13581"/>
        <n v="16128"/>
        <n v="12525"/>
        <n v="13815"/>
        <n v="2353"/>
        <n v="3501"/>
        <n v="4633"/>
        <n v="21790"/>
        <n v="5580"/>
        <n v="13640"/>
        <n v="10485"/>
        <n v="5484"/>
        <n v="16900"/>
        <n v="12459"/>
        <n v="7010"/>
        <n v="8394"/>
        <n v="18110"/>
        <n v="9268"/>
        <n v="3528"/>
        <n v="12675"/>
        <n v="2785"/>
        <n v="21840"/>
        <n v="3890"/>
        <n v="13076"/>
        <n v="21230"/>
        <n v="7929"/>
        <n v="4461"/>
        <n v="1411"/>
        <n v="2820"/>
        <n v="23915"/>
        <n v="9816"/>
        <n v="4000"/>
        <n v="1512"/>
        <n v="9099"/>
        <n v="1727"/>
        <n v="3952"/>
        <n v="1826"/>
        <n v="14907"/>
        <n v="1802"/>
        <n v="1123"/>
        <n v="8688"/>
        <n v="4180"/>
        <n v="18592"/>
        <n v="5378"/>
        <n v="17215"/>
        <n v="4721"/>
        <n v="2475"/>
        <n v="22955"/>
        <n v="19228"/>
        <n v="10074"/>
        <n v="9474"/>
        <n v="5102"/>
        <n v="13208"/>
        <n v="3132"/>
        <n v="7232"/>
        <n v="23145"/>
        <n v="5952"/>
        <n v="10536"/>
        <n v="3842"/>
        <n v="1623"/>
        <n v="3829"/>
        <n v="11600"/>
        <n v="3516"/>
        <n v="943"/>
        <n v="7112"/>
        <n v="6872"/>
        <n v="14757"/>
        <n v="18125"/>
        <n v="15188"/>
        <n v="663"/>
        <n v="3972"/>
        <n v="7558"/>
        <n v="2088"/>
        <n v="18375"/>
        <n v="960"/>
        <n v="3380"/>
        <n v="9552"/>
        <n v="17025"/>
        <n v="4355"/>
        <n v="13330"/>
        <n v="15640"/>
        <n v="1854"/>
        <n v="6759"/>
        <n v="5944"/>
        <n v="3387"/>
        <n v="7984"/>
        <n v="4238"/>
        <n v="1751"/>
        <n v="2830"/>
        <n v="6942"/>
        <n v="6825"/>
        <n v="17736"/>
        <n v="16680"/>
        <n v="18880"/>
        <n v="2958"/>
        <n v="5436"/>
        <n v="3365"/>
        <n v="2253"/>
        <n v="1760"/>
        <n v="6183"/>
        <n v="5172"/>
        <n v="5367"/>
        <n v="14545"/>
        <n v="12250"/>
        <n v="1806"/>
        <n v="1647"/>
        <n v="10835"/>
        <n v="9492"/>
        <n v="4250"/>
        <n v="13176"/>
        <n v="1288"/>
        <n v="3540"/>
        <n v="2139"/>
        <n v="10428"/>
        <n v="3822"/>
        <n v="6108"/>
        <n v="2077"/>
        <n v="14588"/>
        <n v="13755"/>
        <n v="14335"/>
        <n v="7280"/>
        <n v="2876"/>
        <n v="5214"/>
        <n v="13896"/>
        <n v="1380"/>
        <n v="3921"/>
        <n v="18124"/>
        <n v="1777"/>
        <n v="19180"/>
        <n v="17315"/>
        <n v="7330"/>
        <n v="9384"/>
        <n v="11888"/>
        <n v="9990"/>
        <n v="8416"/>
        <n v="8068"/>
        <n v="16565"/>
        <n v="18220"/>
        <n v="9100"/>
        <n v="16996"/>
        <n v="3541"/>
        <n v="13224"/>
        <n v="6704"/>
        <n v="3410"/>
        <n v="6932"/>
        <n v="2311"/>
        <n v="1204"/>
        <n v="17424"/>
        <n v="11481"/>
        <n v="3471"/>
        <n v="2262"/>
        <n v="2225"/>
        <n v="8820"/>
      </sharedItems>
    </cacheField>
  </cacheFields>
  <extLst>
    <ext xmlns:x14="http://schemas.microsoft.com/office/spreadsheetml/2009/9/main" uri="{725AE2AE-9491-48be-B2B4-4EB974FC3084}">
      <x14:pivotCacheDefinition pivotCacheId="9872444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
    <s v="2023-04-28"/>
    <x v="0"/>
    <x v="0"/>
    <x v="0"/>
    <x v="0"/>
    <x v="0"/>
    <s v="Weekday"/>
    <x v="0"/>
    <x v="0"/>
  </r>
  <r>
    <n v="2"/>
    <s v="2023-12-04"/>
    <x v="1"/>
    <x v="1"/>
    <x v="0"/>
    <x v="1"/>
    <x v="1"/>
    <s v="Weekday"/>
    <x v="1"/>
    <x v="1"/>
  </r>
  <r>
    <n v="3"/>
    <s v="2023-02-16"/>
    <x v="2"/>
    <x v="2"/>
    <x v="0"/>
    <x v="1"/>
    <x v="1"/>
    <s v="Weekday"/>
    <x v="2"/>
    <x v="2"/>
  </r>
  <r>
    <n v="4"/>
    <s v="2023-03-29"/>
    <x v="3"/>
    <x v="0"/>
    <x v="1"/>
    <x v="0"/>
    <x v="2"/>
    <s v="Weekday"/>
    <x v="3"/>
    <x v="3"/>
  </r>
  <r>
    <n v="5"/>
    <s v="2023-09-14"/>
    <x v="4"/>
    <x v="0"/>
    <x v="1"/>
    <x v="1"/>
    <x v="2"/>
    <s v="Weekday"/>
    <x v="4"/>
    <x v="4"/>
  </r>
  <r>
    <n v="6"/>
    <s v="2023-04-05"/>
    <x v="1"/>
    <x v="1"/>
    <x v="0"/>
    <x v="1"/>
    <x v="2"/>
    <s v="Weekday"/>
    <x v="0"/>
    <x v="5"/>
  </r>
  <r>
    <n v="7"/>
    <s v="2023-10-25"/>
    <x v="1"/>
    <x v="1"/>
    <x v="1"/>
    <x v="1"/>
    <x v="3"/>
    <s v="Weekday"/>
    <x v="5"/>
    <x v="6"/>
  </r>
  <r>
    <n v="8"/>
    <s v="2023-02-26"/>
    <x v="0"/>
    <x v="0"/>
    <x v="2"/>
    <x v="0"/>
    <x v="3"/>
    <s v="Weekend"/>
    <x v="2"/>
    <x v="7"/>
  </r>
  <r>
    <n v="9"/>
    <s v="2023-10-13"/>
    <x v="5"/>
    <x v="1"/>
    <x v="3"/>
    <x v="0"/>
    <x v="2"/>
    <s v="Weekday"/>
    <x v="5"/>
    <x v="8"/>
  </r>
  <r>
    <n v="10"/>
    <s v="2023-09-15"/>
    <x v="1"/>
    <x v="1"/>
    <x v="2"/>
    <x v="0"/>
    <x v="3"/>
    <s v="Weekday"/>
    <x v="4"/>
    <x v="9"/>
  </r>
  <r>
    <n v="11"/>
    <s v="2023-05-07"/>
    <x v="0"/>
    <x v="0"/>
    <x v="2"/>
    <x v="0"/>
    <x v="1"/>
    <s v="Weekend"/>
    <x v="6"/>
    <x v="10"/>
  </r>
  <r>
    <n v="12"/>
    <s v="2023-06-20"/>
    <x v="5"/>
    <x v="1"/>
    <x v="0"/>
    <x v="1"/>
    <x v="1"/>
    <s v="Weekday"/>
    <x v="7"/>
    <x v="11"/>
  </r>
  <r>
    <n v="13"/>
    <s v="2023-07-31"/>
    <x v="1"/>
    <x v="1"/>
    <x v="3"/>
    <x v="1"/>
    <x v="2"/>
    <s v="Weekday"/>
    <x v="8"/>
    <x v="12"/>
  </r>
  <r>
    <n v="14"/>
    <s v="2023-04-16"/>
    <x v="0"/>
    <x v="0"/>
    <x v="2"/>
    <x v="0"/>
    <x v="2"/>
    <s v="Weekend"/>
    <x v="0"/>
    <x v="13"/>
  </r>
  <r>
    <n v="15"/>
    <s v="2023-08-13"/>
    <x v="3"/>
    <x v="0"/>
    <x v="1"/>
    <x v="0"/>
    <x v="1"/>
    <s v="Weekend"/>
    <x v="9"/>
    <x v="14"/>
  </r>
  <r>
    <n v="16"/>
    <s v="2023-02-23"/>
    <x v="6"/>
    <x v="2"/>
    <x v="1"/>
    <x v="0"/>
    <x v="2"/>
    <s v="Weekday"/>
    <x v="2"/>
    <x v="15"/>
  </r>
  <r>
    <n v="17"/>
    <s v="2023-07-10"/>
    <x v="5"/>
    <x v="1"/>
    <x v="1"/>
    <x v="1"/>
    <x v="0"/>
    <s v="Weekday"/>
    <x v="8"/>
    <x v="16"/>
  </r>
  <r>
    <n v="18"/>
    <s v="2023-06-17"/>
    <x v="2"/>
    <x v="2"/>
    <x v="0"/>
    <x v="0"/>
    <x v="3"/>
    <s v="Weekend"/>
    <x v="7"/>
    <x v="17"/>
  </r>
  <r>
    <n v="19"/>
    <s v="2023-07-14"/>
    <x v="3"/>
    <x v="0"/>
    <x v="3"/>
    <x v="1"/>
    <x v="1"/>
    <s v="Weekday"/>
    <x v="8"/>
    <x v="18"/>
  </r>
  <r>
    <n v="20"/>
    <s v="2023-09-24"/>
    <x v="2"/>
    <x v="2"/>
    <x v="0"/>
    <x v="0"/>
    <x v="2"/>
    <s v="Weekend"/>
    <x v="4"/>
    <x v="19"/>
  </r>
  <r>
    <n v="21"/>
    <s v="2023-06-11"/>
    <x v="3"/>
    <x v="0"/>
    <x v="2"/>
    <x v="0"/>
    <x v="4"/>
    <s v="Weekend"/>
    <x v="7"/>
    <x v="20"/>
  </r>
  <r>
    <n v="22"/>
    <s v="2023-11-20"/>
    <x v="4"/>
    <x v="0"/>
    <x v="1"/>
    <x v="1"/>
    <x v="2"/>
    <s v="Weekday"/>
    <x v="10"/>
    <x v="21"/>
  </r>
  <r>
    <n v="23"/>
    <s v="2023-05-15"/>
    <x v="3"/>
    <x v="0"/>
    <x v="1"/>
    <x v="0"/>
    <x v="3"/>
    <s v="Weekday"/>
    <x v="6"/>
    <x v="22"/>
  </r>
  <r>
    <n v="24"/>
    <s v="2023-08-03"/>
    <x v="6"/>
    <x v="2"/>
    <x v="2"/>
    <x v="0"/>
    <x v="3"/>
    <s v="Weekday"/>
    <x v="9"/>
    <x v="23"/>
  </r>
  <r>
    <n v="25"/>
    <s v="2023-03-08"/>
    <x v="4"/>
    <x v="0"/>
    <x v="3"/>
    <x v="0"/>
    <x v="0"/>
    <s v="Weekday"/>
    <x v="3"/>
    <x v="24"/>
  </r>
  <r>
    <n v="26"/>
    <s v="2023-10-20"/>
    <x v="3"/>
    <x v="0"/>
    <x v="0"/>
    <x v="0"/>
    <x v="0"/>
    <s v="Weekday"/>
    <x v="5"/>
    <x v="25"/>
  </r>
  <r>
    <n v="27"/>
    <s v="2023-07-10"/>
    <x v="5"/>
    <x v="1"/>
    <x v="3"/>
    <x v="1"/>
    <x v="2"/>
    <s v="Weekday"/>
    <x v="8"/>
    <x v="26"/>
  </r>
  <r>
    <n v="28"/>
    <s v="2023-02-23"/>
    <x v="4"/>
    <x v="0"/>
    <x v="2"/>
    <x v="1"/>
    <x v="1"/>
    <s v="Weekday"/>
    <x v="2"/>
    <x v="27"/>
  </r>
  <r>
    <n v="29"/>
    <s v="2023-03-18"/>
    <x v="5"/>
    <x v="1"/>
    <x v="3"/>
    <x v="0"/>
    <x v="4"/>
    <s v="Weekend"/>
    <x v="3"/>
    <x v="28"/>
  </r>
  <r>
    <n v="30"/>
    <s v="2023-12-25"/>
    <x v="5"/>
    <x v="1"/>
    <x v="1"/>
    <x v="0"/>
    <x v="4"/>
    <s v="Weekday"/>
    <x v="1"/>
    <x v="29"/>
  </r>
  <r>
    <n v="31"/>
    <s v="2023-09-11"/>
    <x v="6"/>
    <x v="2"/>
    <x v="1"/>
    <x v="0"/>
    <x v="1"/>
    <s v="Weekday"/>
    <x v="4"/>
    <x v="30"/>
  </r>
  <r>
    <n v="32"/>
    <s v="2023-08-08"/>
    <x v="2"/>
    <x v="2"/>
    <x v="1"/>
    <x v="0"/>
    <x v="2"/>
    <s v="Weekday"/>
    <x v="9"/>
    <x v="31"/>
  </r>
  <r>
    <n v="33"/>
    <s v="2023-06-13"/>
    <x v="4"/>
    <x v="0"/>
    <x v="0"/>
    <x v="1"/>
    <x v="2"/>
    <s v="Weekday"/>
    <x v="7"/>
    <x v="32"/>
  </r>
  <r>
    <n v="34"/>
    <s v="2023-01-15"/>
    <x v="3"/>
    <x v="0"/>
    <x v="0"/>
    <x v="1"/>
    <x v="2"/>
    <s v="Weekend"/>
    <x v="11"/>
    <x v="33"/>
  </r>
  <r>
    <n v="35"/>
    <s v="2023-06-26"/>
    <x v="2"/>
    <x v="2"/>
    <x v="0"/>
    <x v="1"/>
    <x v="3"/>
    <s v="Weekday"/>
    <x v="7"/>
    <x v="34"/>
  </r>
  <r>
    <n v="36"/>
    <s v="2023-01-01"/>
    <x v="6"/>
    <x v="2"/>
    <x v="0"/>
    <x v="1"/>
    <x v="0"/>
    <s v="Weekend"/>
    <x v="11"/>
    <x v="35"/>
  </r>
  <r>
    <n v="37"/>
    <s v="2023-10-06"/>
    <x v="2"/>
    <x v="2"/>
    <x v="0"/>
    <x v="0"/>
    <x v="4"/>
    <s v="Weekday"/>
    <x v="5"/>
    <x v="36"/>
  </r>
  <r>
    <n v="38"/>
    <s v="2023-09-25"/>
    <x v="2"/>
    <x v="2"/>
    <x v="1"/>
    <x v="0"/>
    <x v="2"/>
    <s v="Weekday"/>
    <x v="4"/>
    <x v="37"/>
  </r>
  <r>
    <n v="39"/>
    <s v="2023-07-02"/>
    <x v="3"/>
    <x v="0"/>
    <x v="2"/>
    <x v="0"/>
    <x v="1"/>
    <s v="Weekend"/>
    <x v="8"/>
    <x v="38"/>
  </r>
  <r>
    <n v="40"/>
    <s v="2023-10-06"/>
    <x v="6"/>
    <x v="2"/>
    <x v="0"/>
    <x v="1"/>
    <x v="1"/>
    <s v="Weekday"/>
    <x v="5"/>
    <x v="39"/>
  </r>
  <r>
    <n v="41"/>
    <s v="2023-09-30"/>
    <x v="2"/>
    <x v="2"/>
    <x v="1"/>
    <x v="0"/>
    <x v="1"/>
    <s v="Weekend"/>
    <x v="4"/>
    <x v="40"/>
  </r>
  <r>
    <n v="42"/>
    <s v="2023-10-23"/>
    <x v="5"/>
    <x v="1"/>
    <x v="3"/>
    <x v="1"/>
    <x v="1"/>
    <s v="Weekday"/>
    <x v="5"/>
    <x v="41"/>
  </r>
  <r>
    <n v="43"/>
    <s v="2023-08-09"/>
    <x v="2"/>
    <x v="2"/>
    <x v="1"/>
    <x v="0"/>
    <x v="1"/>
    <s v="Weekday"/>
    <x v="9"/>
    <x v="42"/>
  </r>
  <r>
    <n v="44"/>
    <s v="2023-10-11"/>
    <x v="5"/>
    <x v="1"/>
    <x v="1"/>
    <x v="0"/>
    <x v="0"/>
    <s v="Weekday"/>
    <x v="5"/>
    <x v="43"/>
  </r>
  <r>
    <n v="45"/>
    <s v="2023-05-25"/>
    <x v="0"/>
    <x v="0"/>
    <x v="1"/>
    <x v="0"/>
    <x v="2"/>
    <s v="Weekday"/>
    <x v="6"/>
    <x v="44"/>
  </r>
  <r>
    <n v="46"/>
    <s v="2023-01-17"/>
    <x v="6"/>
    <x v="2"/>
    <x v="0"/>
    <x v="1"/>
    <x v="3"/>
    <s v="Weekday"/>
    <x v="11"/>
    <x v="45"/>
  </r>
  <r>
    <n v="47"/>
    <s v="2023-06-21"/>
    <x v="3"/>
    <x v="0"/>
    <x v="0"/>
    <x v="1"/>
    <x v="1"/>
    <s v="Weekday"/>
    <x v="7"/>
    <x v="46"/>
  </r>
  <r>
    <n v="48"/>
    <s v="2023-08-05"/>
    <x v="4"/>
    <x v="0"/>
    <x v="0"/>
    <x v="0"/>
    <x v="2"/>
    <s v="Weekend"/>
    <x v="9"/>
    <x v="47"/>
  </r>
  <r>
    <n v="49"/>
    <s v="2023-07-28"/>
    <x v="3"/>
    <x v="0"/>
    <x v="1"/>
    <x v="1"/>
    <x v="2"/>
    <s v="Weekday"/>
    <x v="8"/>
    <x v="48"/>
  </r>
  <r>
    <n v="50"/>
    <s v="2023-01-29"/>
    <x v="0"/>
    <x v="0"/>
    <x v="0"/>
    <x v="0"/>
    <x v="2"/>
    <s v="Weekend"/>
    <x v="11"/>
    <x v="49"/>
  </r>
  <r>
    <n v="51"/>
    <s v="2023-07-29"/>
    <x v="5"/>
    <x v="1"/>
    <x v="0"/>
    <x v="1"/>
    <x v="4"/>
    <s v="Weekend"/>
    <x v="8"/>
    <x v="50"/>
  </r>
  <r>
    <n v="52"/>
    <s v="2023-04-18"/>
    <x v="1"/>
    <x v="1"/>
    <x v="3"/>
    <x v="1"/>
    <x v="1"/>
    <s v="Weekday"/>
    <x v="0"/>
    <x v="51"/>
  </r>
  <r>
    <n v="53"/>
    <s v="2023-09-25"/>
    <x v="2"/>
    <x v="2"/>
    <x v="1"/>
    <x v="1"/>
    <x v="1"/>
    <s v="Weekday"/>
    <x v="4"/>
    <x v="52"/>
  </r>
  <r>
    <n v="54"/>
    <s v="2023-06-20"/>
    <x v="2"/>
    <x v="2"/>
    <x v="2"/>
    <x v="1"/>
    <x v="0"/>
    <s v="Weekday"/>
    <x v="7"/>
    <x v="53"/>
  </r>
  <r>
    <n v="55"/>
    <s v="2023-09-01"/>
    <x v="4"/>
    <x v="0"/>
    <x v="0"/>
    <x v="1"/>
    <x v="1"/>
    <s v="Weekday"/>
    <x v="4"/>
    <x v="54"/>
  </r>
  <r>
    <n v="56"/>
    <s v="2023-12-21"/>
    <x v="2"/>
    <x v="2"/>
    <x v="3"/>
    <x v="0"/>
    <x v="1"/>
    <s v="Weekday"/>
    <x v="1"/>
    <x v="55"/>
  </r>
  <r>
    <n v="57"/>
    <s v="2023-04-09"/>
    <x v="0"/>
    <x v="0"/>
    <x v="2"/>
    <x v="0"/>
    <x v="0"/>
    <s v="Weekend"/>
    <x v="0"/>
    <x v="56"/>
  </r>
  <r>
    <n v="58"/>
    <s v="2023-09-30"/>
    <x v="5"/>
    <x v="1"/>
    <x v="0"/>
    <x v="1"/>
    <x v="3"/>
    <s v="Weekend"/>
    <x v="4"/>
    <x v="57"/>
  </r>
  <r>
    <n v="59"/>
    <s v="2023-08-22"/>
    <x v="1"/>
    <x v="1"/>
    <x v="3"/>
    <x v="1"/>
    <x v="3"/>
    <s v="Weekday"/>
    <x v="9"/>
    <x v="58"/>
  </r>
  <r>
    <n v="60"/>
    <s v="2023-10-10"/>
    <x v="6"/>
    <x v="2"/>
    <x v="1"/>
    <x v="0"/>
    <x v="3"/>
    <s v="Weekday"/>
    <x v="5"/>
    <x v="59"/>
  </r>
  <r>
    <n v="61"/>
    <s v="2023-12-24"/>
    <x v="0"/>
    <x v="0"/>
    <x v="1"/>
    <x v="0"/>
    <x v="1"/>
    <s v="Weekend"/>
    <x v="1"/>
    <x v="40"/>
  </r>
  <r>
    <n v="62"/>
    <s v="2023-07-18"/>
    <x v="3"/>
    <x v="0"/>
    <x v="1"/>
    <x v="0"/>
    <x v="0"/>
    <s v="Weekday"/>
    <x v="8"/>
    <x v="60"/>
  </r>
  <r>
    <n v="63"/>
    <s v="2023-02-14"/>
    <x v="0"/>
    <x v="0"/>
    <x v="3"/>
    <x v="0"/>
    <x v="0"/>
    <s v="Weekday"/>
    <x v="2"/>
    <x v="61"/>
  </r>
  <r>
    <n v="64"/>
    <s v="2023-07-15"/>
    <x v="3"/>
    <x v="0"/>
    <x v="0"/>
    <x v="0"/>
    <x v="3"/>
    <s v="Weekend"/>
    <x v="8"/>
    <x v="62"/>
  </r>
  <r>
    <n v="65"/>
    <s v="2023-01-27"/>
    <x v="4"/>
    <x v="0"/>
    <x v="1"/>
    <x v="1"/>
    <x v="0"/>
    <s v="Weekday"/>
    <x v="11"/>
    <x v="63"/>
  </r>
  <r>
    <n v="66"/>
    <s v="2023-10-06"/>
    <x v="4"/>
    <x v="0"/>
    <x v="2"/>
    <x v="0"/>
    <x v="2"/>
    <s v="Weekday"/>
    <x v="5"/>
    <x v="64"/>
  </r>
  <r>
    <n v="67"/>
    <s v="2023-12-01"/>
    <x v="5"/>
    <x v="1"/>
    <x v="3"/>
    <x v="0"/>
    <x v="4"/>
    <s v="Weekday"/>
    <x v="1"/>
    <x v="65"/>
  </r>
  <r>
    <n v="68"/>
    <s v="2023-02-18"/>
    <x v="3"/>
    <x v="0"/>
    <x v="3"/>
    <x v="1"/>
    <x v="4"/>
    <s v="Weekend"/>
    <x v="2"/>
    <x v="66"/>
  </r>
  <r>
    <n v="69"/>
    <s v="2023-04-03"/>
    <x v="0"/>
    <x v="0"/>
    <x v="3"/>
    <x v="1"/>
    <x v="1"/>
    <s v="Weekday"/>
    <x v="0"/>
    <x v="67"/>
  </r>
  <r>
    <n v="70"/>
    <s v="2023-06-06"/>
    <x v="3"/>
    <x v="0"/>
    <x v="0"/>
    <x v="1"/>
    <x v="0"/>
    <s v="Weekday"/>
    <x v="7"/>
    <x v="68"/>
  </r>
  <r>
    <n v="71"/>
    <s v="2023-11-26"/>
    <x v="2"/>
    <x v="2"/>
    <x v="1"/>
    <x v="1"/>
    <x v="3"/>
    <s v="Weekend"/>
    <x v="10"/>
    <x v="69"/>
  </r>
  <r>
    <n v="72"/>
    <s v="2023-06-22"/>
    <x v="5"/>
    <x v="1"/>
    <x v="2"/>
    <x v="1"/>
    <x v="3"/>
    <s v="Weekday"/>
    <x v="7"/>
    <x v="70"/>
  </r>
  <r>
    <n v="73"/>
    <s v="2023-11-26"/>
    <x v="4"/>
    <x v="0"/>
    <x v="2"/>
    <x v="1"/>
    <x v="4"/>
    <s v="Weekend"/>
    <x v="10"/>
    <x v="71"/>
  </r>
  <r>
    <n v="74"/>
    <s v="2023-09-30"/>
    <x v="4"/>
    <x v="0"/>
    <x v="1"/>
    <x v="0"/>
    <x v="3"/>
    <s v="Weekend"/>
    <x v="4"/>
    <x v="72"/>
  </r>
  <r>
    <n v="75"/>
    <s v="2023-10-17"/>
    <x v="5"/>
    <x v="1"/>
    <x v="1"/>
    <x v="0"/>
    <x v="1"/>
    <s v="Weekday"/>
    <x v="5"/>
    <x v="73"/>
  </r>
  <r>
    <n v="76"/>
    <s v="2023-10-14"/>
    <x v="2"/>
    <x v="2"/>
    <x v="0"/>
    <x v="1"/>
    <x v="4"/>
    <s v="Weekend"/>
    <x v="5"/>
    <x v="74"/>
  </r>
  <r>
    <n v="77"/>
    <s v="2023-02-25"/>
    <x v="4"/>
    <x v="0"/>
    <x v="2"/>
    <x v="0"/>
    <x v="3"/>
    <s v="Weekend"/>
    <x v="2"/>
    <x v="75"/>
  </r>
  <r>
    <n v="78"/>
    <s v="2023-09-15"/>
    <x v="6"/>
    <x v="2"/>
    <x v="0"/>
    <x v="0"/>
    <x v="1"/>
    <s v="Weekday"/>
    <x v="4"/>
    <x v="76"/>
  </r>
  <r>
    <n v="79"/>
    <s v="2023-05-16"/>
    <x v="0"/>
    <x v="0"/>
    <x v="2"/>
    <x v="0"/>
    <x v="2"/>
    <s v="Weekday"/>
    <x v="6"/>
    <x v="77"/>
  </r>
  <r>
    <n v="80"/>
    <s v="2023-07-12"/>
    <x v="2"/>
    <x v="2"/>
    <x v="0"/>
    <x v="1"/>
    <x v="0"/>
    <s v="Weekday"/>
    <x v="8"/>
    <x v="78"/>
  </r>
  <r>
    <n v="81"/>
    <s v="2023-02-10"/>
    <x v="3"/>
    <x v="0"/>
    <x v="0"/>
    <x v="1"/>
    <x v="4"/>
    <s v="Weekday"/>
    <x v="2"/>
    <x v="79"/>
  </r>
  <r>
    <n v="82"/>
    <s v="2023-12-17"/>
    <x v="4"/>
    <x v="0"/>
    <x v="2"/>
    <x v="0"/>
    <x v="0"/>
    <s v="Weekend"/>
    <x v="1"/>
    <x v="80"/>
  </r>
  <r>
    <n v="83"/>
    <s v="2023-05-07"/>
    <x v="5"/>
    <x v="1"/>
    <x v="0"/>
    <x v="0"/>
    <x v="1"/>
    <s v="Weekend"/>
    <x v="6"/>
    <x v="81"/>
  </r>
  <r>
    <n v="84"/>
    <s v="2023-10-26"/>
    <x v="3"/>
    <x v="0"/>
    <x v="0"/>
    <x v="1"/>
    <x v="4"/>
    <s v="Weekday"/>
    <x v="5"/>
    <x v="82"/>
  </r>
  <r>
    <n v="85"/>
    <s v="2023-05-11"/>
    <x v="5"/>
    <x v="1"/>
    <x v="1"/>
    <x v="0"/>
    <x v="3"/>
    <s v="Weekday"/>
    <x v="6"/>
    <x v="83"/>
  </r>
  <r>
    <n v="86"/>
    <s v="2023-01-24"/>
    <x v="2"/>
    <x v="2"/>
    <x v="2"/>
    <x v="0"/>
    <x v="3"/>
    <s v="Weekday"/>
    <x v="11"/>
    <x v="84"/>
  </r>
  <r>
    <n v="87"/>
    <s v="2023-11-09"/>
    <x v="2"/>
    <x v="2"/>
    <x v="0"/>
    <x v="1"/>
    <x v="1"/>
    <s v="Weekday"/>
    <x v="10"/>
    <x v="85"/>
  </r>
  <r>
    <n v="88"/>
    <s v="2023-07-05"/>
    <x v="6"/>
    <x v="2"/>
    <x v="2"/>
    <x v="0"/>
    <x v="1"/>
    <s v="Weekday"/>
    <x v="8"/>
    <x v="86"/>
  </r>
  <r>
    <n v="89"/>
    <s v="2023-01-03"/>
    <x v="0"/>
    <x v="0"/>
    <x v="1"/>
    <x v="0"/>
    <x v="4"/>
    <s v="Weekday"/>
    <x v="11"/>
    <x v="87"/>
  </r>
  <r>
    <n v="90"/>
    <s v="2023-06-14"/>
    <x v="6"/>
    <x v="2"/>
    <x v="1"/>
    <x v="1"/>
    <x v="2"/>
    <s v="Weekday"/>
    <x v="7"/>
    <x v="88"/>
  </r>
  <r>
    <n v="91"/>
    <s v="2023-02-04"/>
    <x v="2"/>
    <x v="2"/>
    <x v="0"/>
    <x v="1"/>
    <x v="0"/>
    <s v="Weekend"/>
    <x v="2"/>
    <x v="89"/>
  </r>
  <r>
    <n v="92"/>
    <s v="2023-02-11"/>
    <x v="3"/>
    <x v="0"/>
    <x v="3"/>
    <x v="1"/>
    <x v="2"/>
    <s v="Weekend"/>
    <x v="2"/>
    <x v="90"/>
  </r>
  <r>
    <n v="93"/>
    <s v="2023-01-08"/>
    <x v="2"/>
    <x v="2"/>
    <x v="0"/>
    <x v="0"/>
    <x v="2"/>
    <s v="Weekend"/>
    <x v="11"/>
    <x v="91"/>
  </r>
  <r>
    <n v="94"/>
    <s v="2023-12-27"/>
    <x v="1"/>
    <x v="1"/>
    <x v="0"/>
    <x v="1"/>
    <x v="3"/>
    <s v="Weekday"/>
    <x v="1"/>
    <x v="92"/>
  </r>
  <r>
    <n v="95"/>
    <s v="2023-01-05"/>
    <x v="6"/>
    <x v="2"/>
    <x v="1"/>
    <x v="1"/>
    <x v="2"/>
    <s v="Weekday"/>
    <x v="11"/>
    <x v="93"/>
  </r>
  <r>
    <n v="96"/>
    <s v="2023-05-09"/>
    <x v="5"/>
    <x v="1"/>
    <x v="0"/>
    <x v="1"/>
    <x v="4"/>
    <s v="Weekday"/>
    <x v="6"/>
    <x v="94"/>
  </r>
  <r>
    <n v="97"/>
    <s v="2023-09-18"/>
    <x v="0"/>
    <x v="0"/>
    <x v="1"/>
    <x v="1"/>
    <x v="1"/>
    <s v="Weekday"/>
    <x v="4"/>
    <x v="95"/>
  </r>
  <r>
    <n v="98"/>
    <s v="2023-12-27"/>
    <x v="0"/>
    <x v="0"/>
    <x v="2"/>
    <x v="1"/>
    <x v="0"/>
    <s v="Weekday"/>
    <x v="1"/>
    <x v="96"/>
  </r>
  <r>
    <n v="99"/>
    <s v="2023-12-27"/>
    <x v="2"/>
    <x v="2"/>
    <x v="3"/>
    <x v="1"/>
    <x v="4"/>
    <s v="Weekday"/>
    <x v="1"/>
    <x v="97"/>
  </r>
  <r>
    <n v="100"/>
    <s v="2023-01-10"/>
    <x v="3"/>
    <x v="0"/>
    <x v="1"/>
    <x v="0"/>
    <x v="2"/>
    <s v="Weekday"/>
    <x v="11"/>
    <x v="98"/>
  </r>
  <r>
    <n v="101"/>
    <s v="2023-10-07"/>
    <x v="3"/>
    <x v="0"/>
    <x v="0"/>
    <x v="0"/>
    <x v="0"/>
    <s v="Weekend"/>
    <x v="5"/>
    <x v="99"/>
  </r>
  <r>
    <n v="102"/>
    <s v="2023-08-16"/>
    <x v="6"/>
    <x v="2"/>
    <x v="2"/>
    <x v="0"/>
    <x v="2"/>
    <s v="Weekday"/>
    <x v="9"/>
    <x v="100"/>
  </r>
  <r>
    <n v="103"/>
    <s v="2023-12-01"/>
    <x v="5"/>
    <x v="1"/>
    <x v="0"/>
    <x v="0"/>
    <x v="2"/>
    <s v="Weekday"/>
    <x v="1"/>
    <x v="101"/>
  </r>
  <r>
    <n v="104"/>
    <s v="2023-08-14"/>
    <x v="2"/>
    <x v="2"/>
    <x v="0"/>
    <x v="0"/>
    <x v="2"/>
    <s v="Weekday"/>
    <x v="9"/>
    <x v="102"/>
  </r>
  <r>
    <n v="105"/>
    <s v="2023-11-24"/>
    <x v="1"/>
    <x v="1"/>
    <x v="3"/>
    <x v="1"/>
    <x v="4"/>
    <s v="Weekday"/>
    <x v="10"/>
    <x v="103"/>
  </r>
  <r>
    <n v="106"/>
    <s v="2023-01-15"/>
    <x v="1"/>
    <x v="1"/>
    <x v="0"/>
    <x v="0"/>
    <x v="3"/>
    <s v="Weekend"/>
    <x v="11"/>
    <x v="104"/>
  </r>
  <r>
    <n v="107"/>
    <s v="2023-07-08"/>
    <x v="3"/>
    <x v="0"/>
    <x v="0"/>
    <x v="1"/>
    <x v="2"/>
    <s v="Weekend"/>
    <x v="8"/>
    <x v="105"/>
  </r>
  <r>
    <n v="108"/>
    <s v="2023-11-19"/>
    <x v="4"/>
    <x v="0"/>
    <x v="1"/>
    <x v="0"/>
    <x v="2"/>
    <s v="Weekend"/>
    <x v="10"/>
    <x v="106"/>
  </r>
  <r>
    <n v="109"/>
    <s v="2023-09-28"/>
    <x v="6"/>
    <x v="2"/>
    <x v="1"/>
    <x v="0"/>
    <x v="2"/>
    <s v="Weekday"/>
    <x v="4"/>
    <x v="107"/>
  </r>
  <r>
    <n v="110"/>
    <s v="2023-06-17"/>
    <x v="1"/>
    <x v="1"/>
    <x v="2"/>
    <x v="1"/>
    <x v="3"/>
    <s v="Weekend"/>
    <x v="7"/>
    <x v="108"/>
  </r>
  <r>
    <n v="111"/>
    <s v="2023-07-16"/>
    <x v="2"/>
    <x v="2"/>
    <x v="3"/>
    <x v="1"/>
    <x v="1"/>
    <s v="Weekend"/>
    <x v="8"/>
    <x v="109"/>
  </r>
  <r>
    <n v="112"/>
    <s v="2023-04-01"/>
    <x v="2"/>
    <x v="2"/>
    <x v="1"/>
    <x v="1"/>
    <x v="4"/>
    <s v="Weekend"/>
    <x v="0"/>
    <x v="110"/>
  </r>
  <r>
    <n v="113"/>
    <s v="2023-03-26"/>
    <x v="3"/>
    <x v="0"/>
    <x v="1"/>
    <x v="0"/>
    <x v="0"/>
    <s v="Weekend"/>
    <x v="3"/>
    <x v="111"/>
  </r>
  <r>
    <n v="114"/>
    <s v="2023-06-23"/>
    <x v="0"/>
    <x v="0"/>
    <x v="0"/>
    <x v="0"/>
    <x v="0"/>
    <s v="Weekday"/>
    <x v="7"/>
    <x v="112"/>
  </r>
  <r>
    <n v="115"/>
    <s v="2023-12-20"/>
    <x v="2"/>
    <x v="2"/>
    <x v="1"/>
    <x v="0"/>
    <x v="1"/>
    <s v="Weekday"/>
    <x v="1"/>
    <x v="113"/>
  </r>
  <r>
    <n v="116"/>
    <s v="2023-02-27"/>
    <x v="1"/>
    <x v="1"/>
    <x v="2"/>
    <x v="1"/>
    <x v="2"/>
    <s v="Weekday"/>
    <x v="2"/>
    <x v="114"/>
  </r>
  <r>
    <n v="117"/>
    <s v="2023-05-18"/>
    <x v="0"/>
    <x v="0"/>
    <x v="0"/>
    <x v="0"/>
    <x v="3"/>
    <s v="Weekday"/>
    <x v="6"/>
    <x v="115"/>
  </r>
  <r>
    <n v="118"/>
    <s v="2023-06-18"/>
    <x v="1"/>
    <x v="1"/>
    <x v="3"/>
    <x v="0"/>
    <x v="4"/>
    <s v="Weekend"/>
    <x v="7"/>
    <x v="116"/>
  </r>
  <r>
    <n v="119"/>
    <s v="2023-06-24"/>
    <x v="3"/>
    <x v="0"/>
    <x v="2"/>
    <x v="0"/>
    <x v="2"/>
    <s v="Weekend"/>
    <x v="7"/>
    <x v="117"/>
  </r>
  <r>
    <n v="120"/>
    <s v="2023-03-12"/>
    <x v="5"/>
    <x v="1"/>
    <x v="0"/>
    <x v="0"/>
    <x v="4"/>
    <s v="Weekend"/>
    <x v="3"/>
    <x v="118"/>
  </r>
  <r>
    <n v="121"/>
    <s v="2023-01-09"/>
    <x v="5"/>
    <x v="1"/>
    <x v="2"/>
    <x v="0"/>
    <x v="0"/>
    <s v="Weekday"/>
    <x v="11"/>
    <x v="119"/>
  </r>
  <r>
    <n v="122"/>
    <s v="2023-03-17"/>
    <x v="2"/>
    <x v="2"/>
    <x v="3"/>
    <x v="1"/>
    <x v="0"/>
    <s v="Weekday"/>
    <x v="3"/>
    <x v="120"/>
  </r>
  <r>
    <n v="123"/>
    <s v="2023-07-04"/>
    <x v="4"/>
    <x v="0"/>
    <x v="1"/>
    <x v="0"/>
    <x v="4"/>
    <s v="Weekday"/>
    <x v="8"/>
    <x v="121"/>
  </r>
  <r>
    <n v="124"/>
    <s v="2023-03-12"/>
    <x v="1"/>
    <x v="1"/>
    <x v="2"/>
    <x v="0"/>
    <x v="4"/>
    <s v="Weekend"/>
    <x v="3"/>
    <x v="122"/>
  </r>
  <r>
    <n v="125"/>
    <s v="2023-11-07"/>
    <x v="0"/>
    <x v="0"/>
    <x v="1"/>
    <x v="0"/>
    <x v="4"/>
    <s v="Weekday"/>
    <x v="10"/>
    <x v="123"/>
  </r>
  <r>
    <n v="126"/>
    <s v="2023-12-22"/>
    <x v="2"/>
    <x v="2"/>
    <x v="2"/>
    <x v="0"/>
    <x v="0"/>
    <s v="Weekday"/>
    <x v="1"/>
    <x v="124"/>
  </r>
  <r>
    <n v="127"/>
    <s v="2023-10-16"/>
    <x v="0"/>
    <x v="0"/>
    <x v="0"/>
    <x v="1"/>
    <x v="2"/>
    <s v="Weekday"/>
    <x v="5"/>
    <x v="125"/>
  </r>
  <r>
    <n v="128"/>
    <s v="2023-08-15"/>
    <x v="2"/>
    <x v="2"/>
    <x v="3"/>
    <x v="0"/>
    <x v="0"/>
    <s v="Weekday"/>
    <x v="9"/>
    <x v="126"/>
  </r>
  <r>
    <n v="129"/>
    <s v="2023-04-14"/>
    <x v="1"/>
    <x v="1"/>
    <x v="2"/>
    <x v="0"/>
    <x v="1"/>
    <s v="Weekday"/>
    <x v="0"/>
    <x v="127"/>
  </r>
  <r>
    <n v="130"/>
    <s v="2023-05-11"/>
    <x v="3"/>
    <x v="0"/>
    <x v="0"/>
    <x v="0"/>
    <x v="2"/>
    <s v="Weekday"/>
    <x v="6"/>
    <x v="128"/>
  </r>
  <r>
    <n v="131"/>
    <s v="2023-12-01"/>
    <x v="3"/>
    <x v="0"/>
    <x v="0"/>
    <x v="0"/>
    <x v="2"/>
    <s v="Weekday"/>
    <x v="1"/>
    <x v="129"/>
  </r>
  <r>
    <n v="132"/>
    <s v="2023-01-12"/>
    <x v="0"/>
    <x v="0"/>
    <x v="3"/>
    <x v="0"/>
    <x v="4"/>
    <s v="Weekday"/>
    <x v="11"/>
    <x v="130"/>
  </r>
  <r>
    <n v="133"/>
    <s v="2023-08-03"/>
    <x v="3"/>
    <x v="0"/>
    <x v="3"/>
    <x v="1"/>
    <x v="1"/>
    <s v="Weekday"/>
    <x v="9"/>
    <x v="131"/>
  </r>
  <r>
    <n v="134"/>
    <s v="2023-10-14"/>
    <x v="0"/>
    <x v="0"/>
    <x v="3"/>
    <x v="0"/>
    <x v="0"/>
    <s v="Weekend"/>
    <x v="5"/>
    <x v="132"/>
  </r>
  <r>
    <n v="135"/>
    <s v="2023-11-16"/>
    <x v="0"/>
    <x v="0"/>
    <x v="1"/>
    <x v="0"/>
    <x v="0"/>
    <s v="Weekday"/>
    <x v="10"/>
    <x v="133"/>
  </r>
  <r>
    <n v="136"/>
    <s v="2023-10-13"/>
    <x v="2"/>
    <x v="2"/>
    <x v="0"/>
    <x v="1"/>
    <x v="3"/>
    <s v="Weekday"/>
    <x v="5"/>
    <x v="134"/>
  </r>
  <r>
    <n v="137"/>
    <s v="2023-02-13"/>
    <x v="4"/>
    <x v="0"/>
    <x v="0"/>
    <x v="1"/>
    <x v="4"/>
    <s v="Weekday"/>
    <x v="2"/>
    <x v="135"/>
  </r>
  <r>
    <n v="138"/>
    <s v="2023-01-16"/>
    <x v="1"/>
    <x v="1"/>
    <x v="3"/>
    <x v="0"/>
    <x v="4"/>
    <s v="Weekday"/>
    <x v="11"/>
    <x v="136"/>
  </r>
  <r>
    <n v="139"/>
    <s v="2023-05-26"/>
    <x v="0"/>
    <x v="0"/>
    <x v="0"/>
    <x v="1"/>
    <x v="3"/>
    <s v="Weekday"/>
    <x v="6"/>
    <x v="137"/>
  </r>
  <r>
    <n v="140"/>
    <s v="2023-04-13"/>
    <x v="5"/>
    <x v="1"/>
    <x v="1"/>
    <x v="1"/>
    <x v="3"/>
    <s v="Weekday"/>
    <x v="0"/>
    <x v="138"/>
  </r>
  <r>
    <n v="141"/>
    <s v="2023-11-02"/>
    <x v="2"/>
    <x v="2"/>
    <x v="1"/>
    <x v="0"/>
    <x v="4"/>
    <s v="Weekday"/>
    <x v="10"/>
    <x v="139"/>
  </r>
  <r>
    <n v="142"/>
    <s v="2023-10-15"/>
    <x v="4"/>
    <x v="0"/>
    <x v="3"/>
    <x v="0"/>
    <x v="3"/>
    <s v="Weekend"/>
    <x v="5"/>
    <x v="140"/>
  </r>
  <r>
    <n v="143"/>
    <s v="2023-11-01"/>
    <x v="0"/>
    <x v="0"/>
    <x v="1"/>
    <x v="0"/>
    <x v="2"/>
    <s v="Weekday"/>
    <x v="10"/>
    <x v="141"/>
  </r>
  <r>
    <n v="144"/>
    <s v="2023-11-08"/>
    <x v="1"/>
    <x v="1"/>
    <x v="0"/>
    <x v="0"/>
    <x v="2"/>
    <s v="Weekday"/>
    <x v="10"/>
    <x v="142"/>
  </r>
  <r>
    <n v="145"/>
    <s v="2023-12-14"/>
    <x v="4"/>
    <x v="0"/>
    <x v="2"/>
    <x v="0"/>
    <x v="4"/>
    <s v="Weekday"/>
    <x v="1"/>
    <x v="143"/>
  </r>
  <r>
    <n v="146"/>
    <s v="2023-05-28"/>
    <x v="0"/>
    <x v="0"/>
    <x v="3"/>
    <x v="0"/>
    <x v="3"/>
    <s v="Weekend"/>
    <x v="6"/>
    <x v="144"/>
  </r>
  <r>
    <n v="147"/>
    <s v="2023-06-11"/>
    <x v="5"/>
    <x v="1"/>
    <x v="0"/>
    <x v="0"/>
    <x v="4"/>
    <s v="Weekend"/>
    <x v="7"/>
    <x v="145"/>
  </r>
  <r>
    <n v="148"/>
    <s v="2023-10-03"/>
    <x v="2"/>
    <x v="2"/>
    <x v="1"/>
    <x v="1"/>
    <x v="2"/>
    <s v="Weekday"/>
    <x v="5"/>
    <x v="146"/>
  </r>
  <r>
    <n v="149"/>
    <s v="2023-04-28"/>
    <x v="3"/>
    <x v="0"/>
    <x v="2"/>
    <x v="0"/>
    <x v="1"/>
    <s v="Weekday"/>
    <x v="0"/>
    <x v="147"/>
  </r>
  <r>
    <n v="150"/>
    <s v="2023-07-11"/>
    <x v="3"/>
    <x v="0"/>
    <x v="3"/>
    <x v="1"/>
    <x v="4"/>
    <s v="Weekday"/>
    <x v="8"/>
    <x v="148"/>
  </r>
  <r>
    <n v="151"/>
    <s v="2023-01-08"/>
    <x v="6"/>
    <x v="2"/>
    <x v="1"/>
    <x v="1"/>
    <x v="1"/>
    <s v="Weekend"/>
    <x v="11"/>
    <x v="149"/>
  </r>
  <r>
    <n v="152"/>
    <s v="2023-06-06"/>
    <x v="4"/>
    <x v="0"/>
    <x v="2"/>
    <x v="1"/>
    <x v="2"/>
    <s v="Weekday"/>
    <x v="7"/>
    <x v="150"/>
  </r>
  <r>
    <n v="153"/>
    <s v="2023-06-03"/>
    <x v="5"/>
    <x v="1"/>
    <x v="2"/>
    <x v="0"/>
    <x v="2"/>
    <s v="Weekend"/>
    <x v="7"/>
    <x v="151"/>
  </r>
  <r>
    <n v="154"/>
    <s v="2023-06-04"/>
    <x v="5"/>
    <x v="1"/>
    <x v="0"/>
    <x v="0"/>
    <x v="3"/>
    <s v="Weekend"/>
    <x v="7"/>
    <x v="152"/>
  </r>
  <r>
    <n v="155"/>
    <s v="2023-06-09"/>
    <x v="5"/>
    <x v="1"/>
    <x v="1"/>
    <x v="1"/>
    <x v="4"/>
    <s v="Weekday"/>
    <x v="7"/>
    <x v="153"/>
  </r>
  <r>
    <n v="156"/>
    <s v="2023-08-11"/>
    <x v="4"/>
    <x v="0"/>
    <x v="0"/>
    <x v="0"/>
    <x v="0"/>
    <s v="Weekday"/>
    <x v="9"/>
    <x v="154"/>
  </r>
  <r>
    <n v="157"/>
    <s v="2023-10-24"/>
    <x v="0"/>
    <x v="0"/>
    <x v="2"/>
    <x v="0"/>
    <x v="2"/>
    <s v="Weekday"/>
    <x v="5"/>
    <x v="155"/>
  </r>
  <r>
    <n v="158"/>
    <s v="2023-08-12"/>
    <x v="0"/>
    <x v="0"/>
    <x v="0"/>
    <x v="1"/>
    <x v="4"/>
    <s v="Weekend"/>
    <x v="9"/>
    <x v="156"/>
  </r>
  <r>
    <n v="159"/>
    <s v="2023-09-18"/>
    <x v="1"/>
    <x v="1"/>
    <x v="3"/>
    <x v="1"/>
    <x v="2"/>
    <s v="Weekday"/>
    <x v="4"/>
    <x v="157"/>
  </r>
  <r>
    <n v="160"/>
    <s v="2023-05-09"/>
    <x v="5"/>
    <x v="1"/>
    <x v="2"/>
    <x v="1"/>
    <x v="4"/>
    <s v="Weekday"/>
    <x v="6"/>
    <x v="158"/>
  </r>
  <r>
    <n v="161"/>
    <s v="2023-08-16"/>
    <x v="4"/>
    <x v="0"/>
    <x v="1"/>
    <x v="0"/>
    <x v="2"/>
    <s v="Weekday"/>
    <x v="9"/>
    <x v="159"/>
  </r>
  <r>
    <n v="162"/>
    <s v="2023-05-27"/>
    <x v="1"/>
    <x v="1"/>
    <x v="0"/>
    <x v="1"/>
    <x v="0"/>
    <s v="Weekend"/>
    <x v="6"/>
    <x v="160"/>
  </r>
  <r>
    <n v="163"/>
    <s v="2023-06-02"/>
    <x v="5"/>
    <x v="1"/>
    <x v="2"/>
    <x v="1"/>
    <x v="1"/>
    <s v="Weekday"/>
    <x v="7"/>
    <x v="161"/>
  </r>
  <r>
    <n v="164"/>
    <s v="2023-04-27"/>
    <x v="4"/>
    <x v="0"/>
    <x v="2"/>
    <x v="0"/>
    <x v="2"/>
    <s v="Weekday"/>
    <x v="0"/>
    <x v="162"/>
  </r>
  <r>
    <n v="165"/>
    <s v="2023-01-28"/>
    <x v="3"/>
    <x v="0"/>
    <x v="1"/>
    <x v="0"/>
    <x v="1"/>
    <s v="Weekend"/>
    <x v="11"/>
    <x v="163"/>
  </r>
  <r>
    <n v="166"/>
    <s v="2023-06-14"/>
    <x v="4"/>
    <x v="0"/>
    <x v="0"/>
    <x v="0"/>
    <x v="2"/>
    <s v="Weekday"/>
    <x v="7"/>
    <x v="164"/>
  </r>
  <r>
    <n v="167"/>
    <s v="2023-02-27"/>
    <x v="1"/>
    <x v="1"/>
    <x v="0"/>
    <x v="1"/>
    <x v="1"/>
    <s v="Weekday"/>
    <x v="2"/>
    <x v="165"/>
  </r>
  <r>
    <n v="168"/>
    <s v="2023-01-22"/>
    <x v="6"/>
    <x v="2"/>
    <x v="1"/>
    <x v="1"/>
    <x v="3"/>
    <s v="Weekend"/>
    <x v="11"/>
    <x v="166"/>
  </r>
  <r>
    <n v="169"/>
    <s v="2023-06-25"/>
    <x v="3"/>
    <x v="0"/>
    <x v="1"/>
    <x v="0"/>
    <x v="2"/>
    <s v="Weekend"/>
    <x v="7"/>
    <x v="167"/>
  </r>
  <r>
    <n v="170"/>
    <s v="2023-06-08"/>
    <x v="3"/>
    <x v="0"/>
    <x v="2"/>
    <x v="0"/>
    <x v="4"/>
    <s v="Weekday"/>
    <x v="7"/>
    <x v="168"/>
  </r>
  <r>
    <n v="171"/>
    <s v="2023-06-06"/>
    <x v="6"/>
    <x v="2"/>
    <x v="1"/>
    <x v="0"/>
    <x v="1"/>
    <s v="Weekday"/>
    <x v="7"/>
    <x v="169"/>
  </r>
  <r>
    <n v="172"/>
    <s v="2023-09-12"/>
    <x v="4"/>
    <x v="0"/>
    <x v="0"/>
    <x v="1"/>
    <x v="1"/>
    <s v="Weekday"/>
    <x v="4"/>
    <x v="170"/>
  </r>
  <r>
    <n v="173"/>
    <s v="2023-04-17"/>
    <x v="1"/>
    <x v="1"/>
    <x v="2"/>
    <x v="1"/>
    <x v="0"/>
    <s v="Weekday"/>
    <x v="0"/>
    <x v="171"/>
  </r>
  <r>
    <n v="174"/>
    <s v="2023-09-12"/>
    <x v="1"/>
    <x v="1"/>
    <x v="2"/>
    <x v="1"/>
    <x v="2"/>
    <s v="Weekday"/>
    <x v="4"/>
    <x v="172"/>
  </r>
  <r>
    <n v="175"/>
    <s v="2023-05-11"/>
    <x v="3"/>
    <x v="0"/>
    <x v="3"/>
    <x v="0"/>
    <x v="0"/>
    <s v="Weekday"/>
    <x v="6"/>
    <x v="173"/>
  </r>
  <r>
    <n v="176"/>
    <s v="2023-08-23"/>
    <x v="0"/>
    <x v="0"/>
    <x v="1"/>
    <x v="0"/>
    <x v="2"/>
    <s v="Weekday"/>
    <x v="9"/>
    <x v="174"/>
  </r>
  <r>
    <n v="177"/>
    <s v="2023-04-05"/>
    <x v="1"/>
    <x v="1"/>
    <x v="1"/>
    <x v="0"/>
    <x v="0"/>
    <s v="Weekday"/>
    <x v="0"/>
    <x v="175"/>
  </r>
  <r>
    <n v="178"/>
    <s v="2023-05-16"/>
    <x v="1"/>
    <x v="1"/>
    <x v="0"/>
    <x v="1"/>
    <x v="4"/>
    <s v="Weekday"/>
    <x v="6"/>
    <x v="176"/>
  </r>
  <r>
    <n v="179"/>
    <s v="2023-01-30"/>
    <x v="4"/>
    <x v="0"/>
    <x v="2"/>
    <x v="1"/>
    <x v="1"/>
    <s v="Weekday"/>
    <x v="11"/>
    <x v="177"/>
  </r>
  <r>
    <n v="180"/>
    <s v="2023-09-11"/>
    <x v="1"/>
    <x v="1"/>
    <x v="1"/>
    <x v="0"/>
    <x v="0"/>
    <s v="Weekday"/>
    <x v="4"/>
    <x v="178"/>
  </r>
  <r>
    <n v="181"/>
    <s v="2023-01-18"/>
    <x v="0"/>
    <x v="0"/>
    <x v="3"/>
    <x v="1"/>
    <x v="0"/>
    <s v="Weekday"/>
    <x v="11"/>
    <x v="179"/>
  </r>
  <r>
    <n v="182"/>
    <s v="2023-07-31"/>
    <x v="2"/>
    <x v="2"/>
    <x v="3"/>
    <x v="1"/>
    <x v="4"/>
    <s v="Weekday"/>
    <x v="8"/>
    <x v="180"/>
  </r>
  <r>
    <n v="183"/>
    <s v="2023-04-09"/>
    <x v="6"/>
    <x v="2"/>
    <x v="2"/>
    <x v="0"/>
    <x v="0"/>
    <s v="Weekend"/>
    <x v="0"/>
    <x v="181"/>
  </r>
  <r>
    <n v="184"/>
    <s v="2023-12-04"/>
    <x v="1"/>
    <x v="1"/>
    <x v="0"/>
    <x v="0"/>
    <x v="1"/>
    <s v="Weekday"/>
    <x v="1"/>
    <x v="182"/>
  </r>
  <r>
    <n v="185"/>
    <s v="2023-08-31"/>
    <x v="3"/>
    <x v="0"/>
    <x v="0"/>
    <x v="1"/>
    <x v="0"/>
    <s v="Weekday"/>
    <x v="9"/>
    <x v="183"/>
  </r>
  <r>
    <n v="186"/>
    <s v="2023-04-23"/>
    <x v="5"/>
    <x v="1"/>
    <x v="2"/>
    <x v="1"/>
    <x v="0"/>
    <s v="Weekend"/>
    <x v="0"/>
    <x v="184"/>
  </r>
  <r>
    <n v="187"/>
    <s v="2023-04-25"/>
    <x v="5"/>
    <x v="1"/>
    <x v="2"/>
    <x v="1"/>
    <x v="3"/>
    <s v="Weekday"/>
    <x v="0"/>
    <x v="185"/>
  </r>
  <r>
    <n v="188"/>
    <s v="2023-04-27"/>
    <x v="2"/>
    <x v="2"/>
    <x v="2"/>
    <x v="0"/>
    <x v="0"/>
    <s v="Weekday"/>
    <x v="0"/>
    <x v="186"/>
  </r>
  <r>
    <n v="189"/>
    <s v="2023-02-02"/>
    <x v="0"/>
    <x v="0"/>
    <x v="1"/>
    <x v="0"/>
    <x v="2"/>
    <s v="Weekday"/>
    <x v="2"/>
    <x v="187"/>
  </r>
  <r>
    <n v="190"/>
    <s v="2023-10-10"/>
    <x v="1"/>
    <x v="1"/>
    <x v="0"/>
    <x v="0"/>
    <x v="1"/>
    <s v="Weekday"/>
    <x v="5"/>
    <x v="188"/>
  </r>
  <r>
    <n v="191"/>
    <s v="2023-03-15"/>
    <x v="0"/>
    <x v="0"/>
    <x v="2"/>
    <x v="0"/>
    <x v="4"/>
    <s v="Weekday"/>
    <x v="3"/>
    <x v="189"/>
  </r>
  <r>
    <n v="192"/>
    <s v="2023-09-10"/>
    <x v="6"/>
    <x v="2"/>
    <x v="3"/>
    <x v="1"/>
    <x v="2"/>
    <s v="Weekend"/>
    <x v="4"/>
    <x v="190"/>
  </r>
  <r>
    <n v="193"/>
    <s v="2023-09-18"/>
    <x v="6"/>
    <x v="2"/>
    <x v="3"/>
    <x v="0"/>
    <x v="3"/>
    <s v="Weekday"/>
    <x v="4"/>
    <x v="191"/>
  </r>
  <r>
    <n v="194"/>
    <s v="2023-12-26"/>
    <x v="1"/>
    <x v="1"/>
    <x v="1"/>
    <x v="1"/>
    <x v="4"/>
    <s v="Weekday"/>
    <x v="1"/>
    <x v="192"/>
  </r>
  <r>
    <n v="195"/>
    <s v="2023-06-30"/>
    <x v="3"/>
    <x v="0"/>
    <x v="2"/>
    <x v="1"/>
    <x v="0"/>
    <s v="Weekday"/>
    <x v="7"/>
    <x v="193"/>
  </r>
  <r>
    <n v="196"/>
    <s v="2023-09-15"/>
    <x v="6"/>
    <x v="2"/>
    <x v="3"/>
    <x v="0"/>
    <x v="0"/>
    <s v="Weekday"/>
    <x v="4"/>
    <x v="194"/>
  </r>
  <r>
    <n v="197"/>
    <s v="2023-06-01"/>
    <x v="0"/>
    <x v="0"/>
    <x v="2"/>
    <x v="1"/>
    <x v="3"/>
    <s v="Weekday"/>
    <x v="7"/>
    <x v="195"/>
  </r>
  <r>
    <n v="198"/>
    <s v="2023-09-26"/>
    <x v="5"/>
    <x v="1"/>
    <x v="3"/>
    <x v="1"/>
    <x v="1"/>
    <s v="Weekday"/>
    <x v="4"/>
    <x v="196"/>
  </r>
  <r>
    <n v="199"/>
    <s v="2023-10-18"/>
    <x v="6"/>
    <x v="2"/>
    <x v="1"/>
    <x v="0"/>
    <x v="3"/>
    <s v="Weekday"/>
    <x v="5"/>
    <x v="197"/>
  </r>
  <r>
    <n v="200"/>
    <s v="2023-07-17"/>
    <x v="1"/>
    <x v="1"/>
    <x v="3"/>
    <x v="0"/>
    <x v="2"/>
    <s v="Weekday"/>
    <x v="8"/>
    <x v="198"/>
  </r>
  <r>
    <n v="201"/>
    <s v="2023-11-02"/>
    <x v="0"/>
    <x v="0"/>
    <x v="2"/>
    <x v="0"/>
    <x v="4"/>
    <s v="Weekday"/>
    <x v="10"/>
    <x v="199"/>
  </r>
  <r>
    <n v="202"/>
    <s v="2023-06-10"/>
    <x v="4"/>
    <x v="0"/>
    <x v="0"/>
    <x v="0"/>
    <x v="4"/>
    <s v="Weekend"/>
    <x v="7"/>
    <x v="200"/>
  </r>
  <r>
    <n v="203"/>
    <s v="2023-06-25"/>
    <x v="5"/>
    <x v="1"/>
    <x v="1"/>
    <x v="0"/>
    <x v="1"/>
    <s v="Weekend"/>
    <x v="7"/>
    <x v="201"/>
  </r>
  <r>
    <n v="204"/>
    <s v="2023-02-11"/>
    <x v="0"/>
    <x v="0"/>
    <x v="1"/>
    <x v="1"/>
    <x v="4"/>
    <s v="Weekend"/>
    <x v="2"/>
    <x v="202"/>
  </r>
  <r>
    <n v="205"/>
    <s v="2023-05-20"/>
    <x v="1"/>
    <x v="1"/>
    <x v="1"/>
    <x v="1"/>
    <x v="1"/>
    <s v="Weekend"/>
    <x v="6"/>
    <x v="203"/>
  </r>
  <r>
    <n v="206"/>
    <s v="2023-10-05"/>
    <x v="1"/>
    <x v="1"/>
    <x v="2"/>
    <x v="1"/>
    <x v="2"/>
    <s v="Weekday"/>
    <x v="5"/>
    <x v="204"/>
  </r>
  <r>
    <n v="207"/>
    <s v="2023-04-04"/>
    <x v="1"/>
    <x v="1"/>
    <x v="1"/>
    <x v="1"/>
    <x v="4"/>
    <s v="Weekday"/>
    <x v="0"/>
    <x v="205"/>
  </r>
  <r>
    <n v="208"/>
    <s v="2023-11-30"/>
    <x v="6"/>
    <x v="2"/>
    <x v="1"/>
    <x v="1"/>
    <x v="1"/>
    <s v="Weekday"/>
    <x v="10"/>
    <x v="206"/>
  </r>
  <r>
    <n v="209"/>
    <s v="2023-11-04"/>
    <x v="2"/>
    <x v="2"/>
    <x v="1"/>
    <x v="1"/>
    <x v="0"/>
    <s v="Weekend"/>
    <x v="10"/>
    <x v="207"/>
  </r>
  <r>
    <n v="210"/>
    <s v="2023-07-30"/>
    <x v="1"/>
    <x v="1"/>
    <x v="1"/>
    <x v="0"/>
    <x v="0"/>
    <s v="Weekend"/>
    <x v="8"/>
    <x v="208"/>
  </r>
  <r>
    <n v="211"/>
    <s v="2023-06-22"/>
    <x v="0"/>
    <x v="0"/>
    <x v="2"/>
    <x v="1"/>
    <x v="4"/>
    <s v="Weekday"/>
    <x v="7"/>
    <x v="209"/>
  </r>
  <r>
    <n v="212"/>
    <s v="2023-06-05"/>
    <x v="6"/>
    <x v="2"/>
    <x v="2"/>
    <x v="0"/>
    <x v="2"/>
    <s v="Weekday"/>
    <x v="7"/>
    <x v="210"/>
  </r>
  <r>
    <n v="213"/>
    <s v="2023-02-04"/>
    <x v="4"/>
    <x v="0"/>
    <x v="1"/>
    <x v="1"/>
    <x v="3"/>
    <s v="Weekend"/>
    <x v="2"/>
    <x v="211"/>
  </r>
  <r>
    <n v="214"/>
    <s v="2023-10-02"/>
    <x v="5"/>
    <x v="1"/>
    <x v="2"/>
    <x v="0"/>
    <x v="1"/>
    <s v="Weekday"/>
    <x v="5"/>
    <x v="212"/>
  </r>
  <r>
    <n v="215"/>
    <s v="2023-04-11"/>
    <x v="2"/>
    <x v="2"/>
    <x v="1"/>
    <x v="0"/>
    <x v="0"/>
    <s v="Weekday"/>
    <x v="0"/>
    <x v="213"/>
  </r>
  <r>
    <n v="216"/>
    <s v="2023-08-16"/>
    <x v="2"/>
    <x v="2"/>
    <x v="3"/>
    <x v="0"/>
    <x v="0"/>
    <s v="Weekday"/>
    <x v="9"/>
    <x v="1"/>
  </r>
  <r>
    <n v="217"/>
    <s v="2023-09-20"/>
    <x v="0"/>
    <x v="0"/>
    <x v="2"/>
    <x v="0"/>
    <x v="0"/>
    <s v="Weekday"/>
    <x v="4"/>
    <x v="214"/>
  </r>
  <r>
    <n v="218"/>
    <s v="2023-03-02"/>
    <x v="6"/>
    <x v="2"/>
    <x v="3"/>
    <x v="0"/>
    <x v="3"/>
    <s v="Weekday"/>
    <x v="3"/>
    <x v="215"/>
  </r>
  <r>
    <n v="219"/>
    <s v="2023-03-26"/>
    <x v="0"/>
    <x v="0"/>
    <x v="2"/>
    <x v="0"/>
    <x v="2"/>
    <s v="Weekend"/>
    <x v="3"/>
    <x v="216"/>
  </r>
  <r>
    <n v="220"/>
    <s v="2023-11-20"/>
    <x v="1"/>
    <x v="1"/>
    <x v="3"/>
    <x v="1"/>
    <x v="0"/>
    <s v="Weekday"/>
    <x v="10"/>
    <x v="199"/>
  </r>
  <r>
    <n v="221"/>
    <s v="2023-08-02"/>
    <x v="3"/>
    <x v="0"/>
    <x v="1"/>
    <x v="1"/>
    <x v="1"/>
    <s v="Weekday"/>
    <x v="9"/>
    <x v="217"/>
  </r>
  <r>
    <n v="222"/>
    <s v="2023-09-01"/>
    <x v="2"/>
    <x v="2"/>
    <x v="3"/>
    <x v="1"/>
    <x v="2"/>
    <s v="Weekday"/>
    <x v="4"/>
    <x v="218"/>
  </r>
  <r>
    <n v="223"/>
    <s v="2023-09-13"/>
    <x v="5"/>
    <x v="1"/>
    <x v="2"/>
    <x v="1"/>
    <x v="4"/>
    <s v="Weekday"/>
    <x v="4"/>
    <x v="219"/>
  </r>
  <r>
    <n v="224"/>
    <s v="2023-05-09"/>
    <x v="2"/>
    <x v="2"/>
    <x v="1"/>
    <x v="0"/>
    <x v="2"/>
    <s v="Weekday"/>
    <x v="6"/>
    <x v="220"/>
  </r>
  <r>
    <n v="225"/>
    <s v="2023-08-23"/>
    <x v="5"/>
    <x v="1"/>
    <x v="2"/>
    <x v="1"/>
    <x v="1"/>
    <s v="Weekday"/>
    <x v="9"/>
    <x v="221"/>
  </r>
  <r>
    <n v="226"/>
    <s v="2023-12-12"/>
    <x v="4"/>
    <x v="0"/>
    <x v="3"/>
    <x v="0"/>
    <x v="2"/>
    <s v="Weekday"/>
    <x v="1"/>
    <x v="222"/>
  </r>
  <r>
    <n v="227"/>
    <s v="2023-10-04"/>
    <x v="2"/>
    <x v="2"/>
    <x v="3"/>
    <x v="0"/>
    <x v="3"/>
    <s v="Weekday"/>
    <x v="5"/>
    <x v="223"/>
  </r>
  <r>
    <n v="228"/>
    <s v="2023-07-18"/>
    <x v="1"/>
    <x v="1"/>
    <x v="2"/>
    <x v="0"/>
    <x v="1"/>
    <s v="Weekday"/>
    <x v="8"/>
    <x v="224"/>
  </r>
  <r>
    <n v="229"/>
    <s v="2023-11-26"/>
    <x v="6"/>
    <x v="2"/>
    <x v="3"/>
    <x v="0"/>
    <x v="4"/>
    <s v="Weekend"/>
    <x v="10"/>
    <x v="225"/>
  </r>
  <r>
    <n v="230"/>
    <s v="2023-04-24"/>
    <x v="0"/>
    <x v="0"/>
    <x v="2"/>
    <x v="0"/>
    <x v="3"/>
    <s v="Weekday"/>
    <x v="0"/>
    <x v="226"/>
  </r>
  <r>
    <n v="231"/>
    <s v="2023-10-22"/>
    <x v="3"/>
    <x v="0"/>
    <x v="2"/>
    <x v="0"/>
    <x v="4"/>
    <s v="Weekend"/>
    <x v="5"/>
    <x v="227"/>
  </r>
  <r>
    <n v="232"/>
    <s v="2023-03-02"/>
    <x v="4"/>
    <x v="0"/>
    <x v="1"/>
    <x v="1"/>
    <x v="0"/>
    <s v="Weekday"/>
    <x v="3"/>
    <x v="228"/>
  </r>
  <r>
    <n v="233"/>
    <s v="2023-04-08"/>
    <x v="0"/>
    <x v="0"/>
    <x v="2"/>
    <x v="1"/>
    <x v="1"/>
    <s v="Weekend"/>
    <x v="0"/>
    <x v="229"/>
  </r>
  <r>
    <n v="234"/>
    <s v="2023-12-16"/>
    <x v="4"/>
    <x v="0"/>
    <x v="3"/>
    <x v="1"/>
    <x v="1"/>
    <s v="Weekend"/>
    <x v="1"/>
    <x v="230"/>
  </r>
  <r>
    <n v="235"/>
    <s v="2023-12-07"/>
    <x v="1"/>
    <x v="1"/>
    <x v="2"/>
    <x v="0"/>
    <x v="0"/>
    <s v="Weekday"/>
    <x v="1"/>
    <x v="231"/>
  </r>
  <r>
    <n v="236"/>
    <s v="2023-08-06"/>
    <x v="4"/>
    <x v="0"/>
    <x v="0"/>
    <x v="1"/>
    <x v="4"/>
    <s v="Weekend"/>
    <x v="9"/>
    <x v="232"/>
  </r>
  <r>
    <n v="237"/>
    <s v="2023-06-01"/>
    <x v="3"/>
    <x v="0"/>
    <x v="1"/>
    <x v="1"/>
    <x v="4"/>
    <s v="Weekday"/>
    <x v="7"/>
    <x v="233"/>
  </r>
  <r>
    <n v="238"/>
    <s v="2023-01-05"/>
    <x v="3"/>
    <x v="0"/>
    <x v="3"/>
    <x v="0"/>
    <x v="3"/>
    <s v="Weekday"/>
    <x v="11"/>
    <x v="234"/>
  </r>
  <r>
    <n v="239"/>
    <s v="2023-01-29"/>
    <x v="5"/>
    <x v="1"/>
    <x v="0"/>
    <x v="0"/>
    <x v="3"/>
    <s v="Weekend"/>
    <x v="11"/>
    <x v="235"/>
  </r>
  <r>
    <n v="240"/>
    <s v="2023-11-10"/>
    <x v="3"/>
    <x v="0"/>
    <x v="1"/>
    <x v="1"/>
    <x v="3"/>
    <s v="Weekday"/>
    <x v="10"/>
    <x v="236"/>
  </r>
  <r>
    <n v="241"/>
    <s v="2023-03-16"/>
    <x v="3"/>
    <x v="0"/>
    <x v="0"/>
    <x v="1"/>
    <x v="4"/>
    <s v="Weekday"/>
    <x v="3"/>
    <x v="237"/>
  </r>
  <r>
    <n v="242"/>
    <s v="2023-09-19"/>
    <x v="4"/>
    <x v="0"/>
    <x v="3"/>
    <x v="1"/>
    <x v="4"/>
    <s v="Weekday"/>
    <x v="4"/>
    <x v="238"/>
  </r>
  <r>
    <n v="243"/>
    <s v="2023-03-14"/>
    <x v="1"/>
    <x v="1"/>
    <x v="2"/>
    <x v="0"/>
    <x v="1"/>
    <s v="Weekday"/>
    <x v="3"/>
    <x v="239"/>
  </r>
  <r>
    <n v="244"/>
    <s v="2023-07-29"/>
    <x v="3"/>
    <x v="0"/>
    <x v="3"/>
    <x v="1"/>
    <x v="1"/>
    <s v="Weekend"/>
    <x v="8"/>
    <x v="240"/>
  </r>
  <r>
    <n v="245"/>
    <s v="2023-07-16"/>
    <x v="1"/>
    <x v="1"/>
    <x v="0"/>
    <x v="0"/>
    <x v="0"/>
    <s v="Weekend"/>
    <x v="8"/>
    <x v="241"/>
  </r>
  <r>
    <n v="246"/>
    <s v="2023-01-03"/>
    <x v="3"/>
    <x v="0"/>
    <x v="0"/>
    <x v="1"/>
    <x v="4"/>
    <s v="Weekday"/>
    <x v="11"/>
    <x v="242"/>
  </r>
  <r>
    <n v="247"/>
    <s v="2023-04-24"/>
    <x v="3"/>
    <x v="0"/>
    <x v="1"/>
    <x v="0"/>
    <x v="0"/>
    <s v="Weekday"/>
    <x v="0"/>
    <x v="243"/>
  </r>
  <r>
    <n v="248"/>
    <s v="2023-04-29"/>
    <x v="0"/>
    <x v="0"/>
    <x v="3"/>
    <x v="0"/>
    <x v="4"/>
    <s v="Weekend"/>
    <x v="0"/>
    <x v="244"/>
  </r>
  <r>
    <n v="249"/>
    <s v="2023-03-02"/>
    <x v="0"/>
    <x v="0"/>
    <x v="2"/>
    <x v="0"/>
    <x v="2"/>
    <s v="Weekday"/>
    <x v="3"/>
    <x v="245"/>
  </r>
  <r>
    <n v="250"/>
    <s v="2023-12-01"/>
    <x v="5"/>
    <x v="1"/>
    <x v="0"/>
    <x v="1"/>
    <x v="2"/>
    <s v="Weekday"/>
    <x v="1"/>
    <x v="246"/>
  </r>
  <r>
    <n v="251"/>
    <s v="2023-10-29"/>
    <x v="1"/>
    <x v="1"/>
    <x v="3"/>
    <x v="1"/>
    <x v="4"/>
    <s v="Weekend"/>
    <x v="5"/>
    <x v="247"/>
  </r>
  <r>
    <n v="252"/>
    <s v="2023-05-07"/>
    <x v="5"/>
    <x v="1"/>
    <x v="3"/>
    <x v="1"/>
    <x v="4"/>
    <s v="Weekend"/>
    <x v="6"/>
    <x v="248"/>
  </r>
  <r>
    <n v="253"/>
    <s v="2023-07-13"/>
    <x v="5"/>
    <x v="1"/>
    <x v="1"/>
    <x v="0"/>
    <x v="2"/>
    <s v="Weekday"/>
    <x v="8"/>
    <x v="249"/>
  </r>
  <r>
    <n v="254"/>
    <s v="2023-07-15"/>
    <x v="1"/>
    <x v="1"/>
    <x v="2"/>
    <x v="1"/>
    <x v="3"/>
    <s v="Weekend"/>
    <x v="8"/>
    <x v="250"/>
  </r>
  <r>
    <n v="255"/>
    <s v="2023-05-11"/>
    <x v="0"/>
    <x v="0"/>
    <x v="1"/>
    <x v="0"/>
    <x v="1"/>
    <s v="Weekday"/>
    <x v="6"/>
    <x v="251"/>
  </r>
  <r>
    <n v="256"/>
    <s v="2023-06-07"/>
    <x v="5"/>
    <x v="1"/>
    <x v="2"/>
    <x v="1"/>
    <x v="4"/>
    <s v="Weekday"/>
    <x v="7"/>
    <x v="252"/>
  </r>
  <r>
    <n v="257"/>
    <s v="2023-04-01"/>
    <x v="3"/>
    <x v="0"/>
    <x v="3"/>
    <x v="1"/>
    <x v="1"/>
    <s v="Weekend"/>
    <x v="0"/>
    <x v="253"/>
  </r>
  <r>
    <n v="258"/>
    <s v="2023-11-23"/>
    <x v="3"/>
    <x v="0"/>
    <x v="2"/>
    <x v="1"/>
    <x v="0"/>
    <s v="Weekday"/>
    <x v="10"/>
    <x v="254"/>
  </r>
  <r>
    <n v="259"/>
    <s v="2023-06-14"/>
    <x v="3"/>
    <x v="0"/>
    <x v="2"/>
    <x v="1"/>
    <x v="1"/>
    <s v="Weekday"/>
    <x v="7"/>
    <x v="255"/>
  </r>
  <r>
    <n v="260"/>
    <s v="2023-08-12"/>
    <x v="0"/>
    <x v="0"/>
    <x v="1"/>
    <x v="0"/>
    <x v="3"/>
    <s v="Weekend"/>
    <x v="9"/>
    <x v="256"/>
  </r>
  <r>
    <n v="261"/>
    <s v="2023-02-19"/>
    <x v="3"/>
    <x v="0"/>
    <x v="1"/>
    <x v="1"/>
    <x v="4"/>
    <s v="Weekend"/>
    <x v="2"/>
    <x v="257"/>
  </r>
  <r>
    <n v="262"/>
    <s v="2023-02-12"/>
    <x v="3"/>
    <x v="0"/>
    <x v="1"/>
    <x v="0"/>
    <x v="0"/>
    <s v="Weekend"/>
    <x v="2"/>
    <x v="258"/>
  </r>
  <r>
    <n v="263"/>
    <s v="2023-11-10"/>
    <x v="1"/>
    <x v="1"/>
    <x v="1"/>
    <x v="1"/>
    <x v="1"/>
    <s v="Weekday"/>
    <x v="10"/>
    <x v="259"/>
  </r>
  <r>
    <n v="264"/>
    <s v="2023-12-21"/>
    <x v="0"/>
    <x v="0"/>
    <x v="3"/>
    <x v="1"/>
    <x v="3"/>
    <s v="Weekday"/>
    <x v="1"/>
    <x v="260"/>
  </r>
  <r>
    <n v="265"/>
    <s v="2023-10-25"/>
    <x v="2"/>
    <x v="2"/>
    <x v="3"/>
    <x v="0"/>
    <x v="2"/>
    <s v="Weekday"/>
    <x v="5"/>
    <x v="261"/>
  </r>
  <r>
    <n v="266"/>
    <s v="2023-10-03"/>
    <x v="1"/>
    <x v="1"/>
    <x v="3"/>
    <x v="0"/>
    <x v="2"/>
    <s v="Weekday"/>
    <x v="5"/>
    <x v="262"/>
  </r>
  <r>
    <n v="267"/>
    <s v="2023-04-18"/>
    <x v="0"/>
    <x v="0"/>
    <x v="3"/>
    <x v="0"/>
    <x v="2"/>
    <s v="Weekday"/>
    <x v="0"/>
    <x v="263"/>
  </r>
  <r>
    <n v="268"/>
    <s v="2023-11-20"/>
    <x v="0"/>
    <x v="0"/>
    <x v="1"/>
    <x v="1"/>
    <x v="0"/>
    <s v="Weekday"/>
    <x v="10"/>
    <x v="264"/>
  </r>
  <r>
    <n v="269"/>
    <s v="2023-08-13"/>
    <x v="1"/>
    <x v="1"/>
    <x v="0"/>
    <x v="0"/>
    <x v="0"/>
    <s v="Weekend"/>
    <x v="9"/>
    <x v="265"/>
  </r>
  <r>
    <n v="270"/>
    <s v="2023-02-07"/>
    <x v="6"/>
    <x v="2"/>
    <x v="3"/>
    <x v="0"/>
    <x v="4"/>
    <s v="Weekday"/>
    <x v="2"/>
    <x v="103"/>
  </r>
  <r>
    <n v="271"/>
    <s v="2023-10-02"/>
    <x v="1"/>
    <x v="1"/>
    <x v="1"/>
    <x v="0"/>
    <x v="4"/>
    <s v="Weekday"/>
    <x v="5"/>
    <x v="266"/>
  </r>
  <r>
    <n v="272"/>
    <s v="2023-10-25"/>
    <x v="6"/>
    <x v="2"/>
    <x v="0"/>
    <x v="1"/>
    <x v="0"/>
    <s v="Weekday"/>
    <x v="5"/>
    <x v="267"/>
  </r>
  <r>
    <n v="273"/>
    <s v="2023-01-08"/>
    <x v="0"/>
    <x v="0"/>
    <x v="3"/>
    <x v="1"/>
    <x v="4"/>
    <s v="Weekend"/>
    <x v="11"/>
    <x v="268"/>
  </r>
  <r>
    <n v="274"/>
    <s v="2023-01-04"/>
    <x v="0"/>
    <x v="0"/>
    <x v="2"/>
    <x v="1"/>
    <x v="3"/>
    <s v="Weekday"/>
    <x v="11"/>
    <x v="269"/>
  </r>
  <r>
    <n v="275"/>
    <s v="2023-04-09"/>
    <x v="0"/>
    <x v="0"/>
    <x v="3"/>
    <x v="1"/>
    <x v="1"/>
    <s v="Weekend"/>
    <x v="0"/>
    <x v="270"/>
  </r>
  <r>
    <n v="276"/>
    <s v="2023-10-18"/>
    <x v="0"/>
    <x v="0"/>
    <x v="2"/>
    <x v="1"/>
    <x v="3"/>
    <s v="Weekday"/>
    <x v="5"/>
    <x v="271"/>
  </r>
  <r>
    <n v="277"/>
    <s v="2023-03-09"/>
    <x v="3"/>
    <x v="0"/>
    <x v="0"/>
    <x v="1"/>
    <x v="2"/>
    <s v="Weekday"/>
    <x v="3"/>
    <x v="272"/>
  </r>
  <r>
    <n v="278"/>
    <s v="2023-07-14"/>
    <x v="1"/>
    <x v="1"/>
    <x v="1"/>
    <x v="1"/>
    <x v="2"/>
    <s v="Weekday"/>
    <x v="8"/>
    <x v="273"/>
  </r>
  <r>
    <n v="279"/>
    <s v="2023-06-16"/>
    <x v="2"/>
    <x v="2"/>
    <x v="3"/>
    <x v="1"/>
    <x v="0"/>
    <s v="Weekday"/>
    <x v="7"/>
    <x v="274"/>
  </r>
  <r>
    <n v="280"/>
    <s v="2023-12-06"/>
    <x v="1"/>
    <x v="1"/>
    <x v="3"/>
    <x v="1"/>
    <x v="3"/>
    <s v="Weekday"/>
    <x v="1"/>
    <x v="275"/>
  </r>
  <r>
    <n v="281"/>
    <s v="2023-11-13"/>
    <x v="5"/>
    <x v="1"/>
    <x v="0"/>
    <x v="1"/>
    <x v="2"/>
    <s v="Weekday"/>
    <x v="10"/>
    <x v="276"/>
  </r>
  <r>
    <n v="282"/>
    <s v="2023-03-18"/>
    <x v="5"/>
    <x v="1"/>
    <x v="2"/>
    <x v="0"/>
    <x v="3"/>
    <s v="Weekend"/>
    <x v="3"/>
    <x v="277"/>
  </r>
  <r>
    <n v="283"/>
    <s v="2023-12-04"/>
    <x v="5"/>
    <x v="1"/>
    <x v="3"/>
    <x v="1"/>
    <x v="0"/>
    <s v="Weekday"/>
    <x v="1"/>
    <x v="278"/>
  </r>
  <r>
    <n v="284"/>
    <s v="2023-05-16"/>
    <x v="4"/>
    <x v="0"/>
    <x v="1"/>
    <x v="1"/>
    <x v="2"/>
    <s v="Weekday"/>
    <x v="6"/>
    <x v="279"/>
  </r>
  <r>
    <n v="285"/>
    <s v="2023-03-16"/>
    <x v="0"/>
    <x v="0"/>
    <x v="1"/>
    <x v="0"/>
    <x v="2"/>
    <s v="Weekday"/>
    <x v="3"/>
    <x v="280"/>
  </r>
  <r>
    <n v="286"/>
    <s v="2023-03-10"/>
    <x v="1"/>
    <x v="1"/>
    <x v="0"/>
    <x v="0"/>
    <x v="2"/>
    <s v="Weekday"/>
    <x v="3"/>
    <x v="281"/>
  </r>
  <r>
    <n v="287"/>
    <s v="2023-07-06"/>
    <x v="2"/>
    <x v="2"/>
    <x v="2"/>
    <x v="0"/>
    <x v="3"/>
    <s v="Weekday"/>
    <x v="8"/>
    <x v="282"/>
  </r>
  <r>
    <n v="288"/>
    <s v="2023-02-04"/>
    <x v="2"/>
    <x v="2"/>
    <x v="3"/>
    <x v="0"/>
    <x v="1"/>
    <s v="Weekend"/>
    <x v="2"/>
    <x v="283"/>
  </r>
  <r>
    <n v="289"/>
    <s v="2023-12-21"/>
    <x v="1"/>
    <x v="1"/>
    <x v="0"/>
    <x v="1"/>
    <x v="4"/>
    <s v="Weekday"/>
    <x v="1"/>
    <x v="284"/>
  </r>
  <r>
    <n v="290"/>
    <s v="2023-06-21"/>
    <x v="1"/>
    <x v="1"/>
    <x v="0"/>
    <x v="0"/>
    <x v="0"/>
    <s v="Weekday"/>
    <x v="7"/>
    <x v="285"/>
  </r>
  <r>
    <n v="291"/>
    <s v="2023-07-27"/>
    <x v="5"/>
    <x v="1"/>
    <x v="1"/>
    <x v="1"/>
    <x v="1"/>
    <s v="Weekday"/>
    <x v="8"/>
    <x v="286"/>
  </r>
  <r>
    <n v="292"/>
    <s v="2023-04-19"/>
    <x v="0"/>
    <x v="0"/>
    <x v="2"/>
    <x v="1"/>
    <x v="3"/>
    <s v="Weekday"/>
    <x v="0"/>
    <x v="287"/>
  </r>
  <r>
    <n v="293"/>
    <s v="2023-11-03"/>
    <x v="3"/>
    <x v="0"/>
    <x v="2"/>
    <x v="0"/>
    <x v="1"/>
    <s v="Weekday"/>
    <x v="10"/>
    <x v="288"/>
  </r>
  <r>
    <n v="294"/>
    <s v="2023-05-20"/>
    <x v="4"/>
    <x v="0"/>
    <x v="1"/>
    <x v="0"/>
    <x v="0"/>
    <s v="Weekend"/>
    <x v="6"/>
    <x v="289"/>
  </r>
  <r>
    <n v="295"/>
    <s v="2023-07-13"/>
    <x v="0"/>
    <x v="0"/>
    <x v="2"/>
    <x v="0"/>
    <x v="3"/>
    <s v="Weekday"/>
    <x v="8"/>
    <x v="290"/>
  </r>
  <r>
    <n v="296"/>
    <s v="2023-08-22"/>
    <x v="4"/>
    <x v="0"/>
    <x v="2"/>
    <x v="0"/>
    <x v="4"/>
    <s v="Weekday"/>
    <x v="9"/>
    <x v="291"/>
  </r>
  <r>
    <n v="297"/>
    <s v="2023-10-26"/>
    <x v="1"/>
    <x v="1"/>
    <x v="1"/>
    <x v="1"/>
    <x v="1"/>
    <s v="Weekday"/>
    <x v="5"/>
    <x v="292"/>
  </r>
  <r>
    <n v="298"/>
    <s v="2023-07-07"/>
    <x v="4"/>
    <x v="0"/>
    <x v="3"/>
    <x v="0"/>
    <x v="4"/>
    <s v="Weekday"/>
    <x v="8"/>
    <x v="293"/>
  </r>
  <r>
    <n v="299"/>
    <s v="2023-02-04"/>
    <x v="5"/>
    <x v="1"/>
    <x v="0"/>
    <x v="1"/>
    <x v="1"/>
    <s v="Weekend"/>
    <x v="2"/>
    <x v="294"/>
  </r>
  <r>
    <n v="300"/>
    <s v="2023-01-26"/>
    <x v="0"/>
    <x v="0"/>
    <x v="3"/>
    <x v="0"/>
    <x v="3"/>
    <s v="Weekday"/>
    <x v="11"/>
    <x v="2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610153-F180-481D-BDD6-0E14E76C254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8" rowHeaderCaption="Gender">
  <location ref="A1:B4" firstHeaderRow="1" firstDataRow="1" firstDataCol="1"/>
  <pivotFields count="10">
    <pivotField showAll="0"/>
    <pivotField showAll="0"/>
    <pivotField showAll="0">
      <items count="8">
        <item x="1"/>
        <item x="3"/>
        <item x="0"/>
        <item x="4"/>
        <item x="6"/>
        <item x="2"/>
        <item x="5"/>
        <item t="default"/>
      </items>
    </pivotField>
    <pivotField showAll="0"/>
    <pivotField showAll="0"/>
    <pivotField axis="axisRow" showAll="0">
      <items count="3">
        <item x="1"/>
        <item x="0"/>
        <item t="default"/>
      </items>
    </pivotField>
    <pivotField showAll="0"/>
    <pivotField showAll="0"/>
    <pivotField showAll="0"/>
    <pivotField dataField="1" showAll="0"/>
  </pivotFields>
  <rowFields count="1">
    <field x="5"/>
  </rowFields>
  <rowItems count="3">
    <i>
      <x/>
    </i>
    <i>
      <x v="1"/>
    </i>
    <i t="grand">
      <x/>
    </i>
  </rowItems>
  <colItems count="1">
    <i/>
  </colItems>
  <dataFields count="1">
    <dataField name="Sum of Sales" fld="9" showDataAs="percentOfTotal" baseField="5" baseItem="0" numFmtId="1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5" count="1" selected="0">
            <x v="0"/>
          </reference>
        </references>
      </pivotArea>
    </chartFormat>
    <chartFormat chart="4" format="8">
      <pivotArea type="data" outline="0" fieldPosition="0">
        <references count="2">
          <reference field="4294967294" count="1" selected="0">
            <x v="0"/>
          </reference>
          <reference field="5" count="1" selected="0">
            <x v="1"/>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5" count="1" selected="0">
            <x v="0"/>
          </reference>
        </references>
      </pivotArea>
    </chartFormat>
    <chartFormat chart="15" format="8">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919BBD-D9E5-4860-B733-026CAE6458A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6" rowHeaderCaption="Product">
  <location ref="A1:B9" firstHeaderRow="1" firstDataRow="1" firstDataCol="1"/>
  <pivotFields count="10">
    <pivotField showAll="0"/>
    <pivotField showAll="0"/>
    <pivotField axis="axisRow" showAll="0">
      <items count="8">
        <item x="1"/>
        <item x="3"/>
        <item x="0"/>
        <item x="4"/>
        <item x="6"/>
        <item x="2"/>
        <item x="5"/>
        <item t="default"/>
      </items>
    </pivotField>
    <pivotField showAll="0"/>
    <pivotField showAll="0"/>
    <pivotField showAll="0"/>
    <pivotField showAll="0"/>
    <pivotField showAll="0"/>
    <pivotField showAll="0"/>
    <pivotField dataField="1" showAll="0"/>
  </pivotFields>
  <rowFields count="1">
    <field x="2"/>
  </rowFields>
  <rowItems count="8">
    <i>
      <x/>
    </i>
    <i>
      <x v="1"/>
    </i>
    <i>
      <x v="2"/>
    </i>
    <i>
      <x v="3"/>
    </i>
    <i>
      <x v="4"/>
    </i>
    <i>
      <x v="5"/>
    </i>
    <i>
      <x v="6"/>
    </i>
    <i t="grand">
      <x/>
    </i>
  </rowItems>
  <colItems count="1">
    <i/>
  </colItems>
  <dataFields count="1">
    <dataField name="Sum of Sales" fld="9"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540DD4-232D-41C3-9A58-4BDBEA385E2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1" rowHeaderCaption="Month">
  <location ref="A1:B14" firstHeaderRow="1" firstDataRow="1" firstDataCol="1"/>
  <pivotFields count="10">
    <pivotField showAll="0"/>
    <pivotField showAll="0"/>
    <pivotField showAll="0">
      <items count="8">
        <item x="1"/>
        <item x="3"/>
        <item x="0"/>
        <item x="4"/>
        <item x="6"/>
        <item x="2"/>
        <item x="5"/>
        <item t="default"/>
      </items>
    </pivotField>
    <pivotField showAll="0"/>
    <pivotField showAll="0"/>
    <pivotField showAll="0"/>
    <pivotField showAll="0"/>
    <pivotField showAll="0"/>
    <pivotField axis="axisRow" showAll="0">
      <items count="13">
        <item x="11"/>
        <item x="2"/>
        <item x="3"/>
        <item x="0"/>
        <item x="6"/>
        <item x="7"/>
        <item x="8"/>
        <item x="9"/>
        <item x="4"/>
        <item x="5"/>
        <item x="10"/>
        <item x="1"/>
        <item t="default"/>
      </items>
    </pivotField>
    <pivotField dataField="1" showAll="0"/>
  </pivotFields>
  <rowFields count="1">
    <field x="8"/>
  </rowFields>
  <rowItems count="13">
    <i>
      <x/>
    </i>
    <i>
      <x v="1"/>
    </i>
    <i>
      <x v="2"/>
    </i>
    <i>
      <x v="3"/>
    </i>
    <i>
      <x v="4"/>
    </i>
    <i>
      <x v="5"/>
    </i>
    <i>
      <x v="6"/>
    </i>
    <i>
      <x v="7"/>
    </i>
    <i>
      <x v="8"/>
    </i>
    <i>
      <x v="9"/>
    </i>
    <i>
      <x v="10"/>
    </i>
    <i>
      <x v="11"/>
    </i>
    <i t="grand">
      <x/>
    </i>
  </rowItems>
  <colItems count="1">
    <i/>
  </colItems>
  <dataFields count="1">
    <dataField name="Sum of Sales" fld="9" showDataAs="percentOfTotal" baseField="8" baseItem="0" numFmtId="10"/>
  </dataFields>
  <chartFormats count="3">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75D26B-5E0F-47E5-93FE-7FD2F611E0F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0" rowHeaderCaption="Region">
  <location ref="A1:B6" firstHeaderRow="1" firstDataRow="1" firstDataCol="1"/>
  <pivotFields count="10">
    <pivotField showAll="0"/>
    <pivotField showAll="0"/>
    <pivotField showAll="0">
      <items count="8">
        <item x="1"/>
        <item x="3"/>
        <item x="0"/>
        <item x="4"/>
        <item x="6"/>
        <item x="2"/>
        <item x="5"/>
        <item t="default"/>
      </items>
    </pivotField>
    <pivotField showAll="0"/>
    <pivotField axis="axisRow" showAll="0">
      <items count="5">
        <item x="2"/>
        <item x="0"/>
        <item x="3"/>
        <item x="1"/>
        <item t="default"/>
      </items>
    </pivotField>
    <pivotField showAll="0"/>
    <pivotField showAll="0"/>
    <pivotField showAll="0"/>
    <pivotField showAll="0"/>
    <pivotField dataField="1" showAll="0"/>
  </pivotFields>
  <rowFields count="1">
    <field x="4"/>
  </rowFields>
  <rowItems count="5">
    <i>
      <x/>
    </i>
    <i>
      <x v="1"/>
    </i>
    <i>
      <x v="2"/>
    </i>
    <i>
      <x v="3"/>
    </i>
    <i t="grand">
      <x/>
    </i>
  </rowItems>
  <colItems count="1">
    <i/>
  </colItems>
  <dataFields count="1">
    <dataField name="Sum of Sales" fld="9" baseField="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3"/>
          </reference>
        </references>
      </pivotArea>
    </chartFormat>
    <chartFormat chart="0" format="2">
      <pivotArea type="data" outline="0" fieldPosition="0">
        <references count="2">
          <reference field="4294967294" count="1" selected="0">
            <x v="0"/>
          </reference>
          <reference field="4" count="1" selected="0">
            <x v="2"/>
          </reference>
        </references>
      </pivotArea>
    </chartFormat>
    <chartFormat chart="0" format="3">
      <pivotArea type="data" outline="0" fieldPosition="0">
        <references count="2">
          <reference field="4294967294" count="1" selected="0">
            <x v="0"/>
          </reference>
          <reference field="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4" count="1" selected="0">
            <x v="0"/>
          </reference>
        </references>
      </pivotArea>
    </chartFormat>
    <chartFormat chart="3" format="6">
      <pivotArea type="data" outline="0" fieldPosition="0">
        <references count="2">
          <reference field="4294967294" count="1" selected="0">
            <x v="0"/>
          </reference>
          <reference field="4" count="1" selected="0">
            <x v="2"/>
          </reference>
        </references>
      </pivotArea>
    </chartFormat>
    <chartFormat chart="3" format="7">
      <pivotArea type="data" outline="0" fieldPosition="0">
        <references count="2">
          <reference field="4294967294" count="1" selected="0">
            <x v="0"/>
          </reference>
          <reference field="4" count="1" selected="0">
            <x v="3"/>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4" count="1" selected="0">
            <x v="0"/>
          </reference>
        </references>
      </pivotArea>
    </chartFormat>
    <chartFormat chart="4" format="10">
      <pivotArea type="data" outline="0" fieldPosition="0">
        <references count="2">
          <reference field="4294967294" count="1" selected="0">
            <x v="0"/>
          </reference>
          <reference field="4" count="1" selected="0">
            <x v="2"/>
          </reference>
        </references>
      </pivotArea>
    </chartFormat>
    <chartFormat chart="4" format="11">
      <pivotArea type="data" outline="0" fieldPosition="0">
        <references count="2">
          <reference field="4294967294" count="1" selected="0">
            <x v="0"/>
          </reference>
          <reference field="4" count="1" selected="0">
            <x v="3"/>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4" count="1" selected="0">
            <x v="0"/>
          </reference>
        </references>
      </pivotArea>
    </chartFormat>
    <chartFormat chart="6" format="10">
      <pivotArea type="data" outline="0" fieldPosition="0">
        <references count="2">
          <reference field="4294967294" count="1" selected="0">
            <x v="0"/>
          </reference>
          <reference field="4" count="1" selected="0">
            <x v="2"/>
          </reference>
        </references>
      </pivotArea>
    </chartFormat>
    <chartFormat chart="6" format="1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A763DE-0CF2-49F0-9076-24F9A277433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6" rowHeaderCaption="quantity">
  <location ref="A1:B7" firstHeaderRow="1" firstDataRow="1" firstDataCol="1"/>
  <pivotFields count="10">
    <pivotField showAll="0"/>
    <pivotField showAll="0"/>
    <pivotField showAll="0">
      <items count="8">
        <item x="1"/>
        <item x="3"/>
        <item x="0"/>
        <item x="4"/>
        <item x="6"/>
        <item x="2"/>
        <item x="5"/>
        <item t="default"/>
      </items>
    </pivotField>
    <pivotField showAll="0"/>
    <pivotField showAll="0"/>
    <pivotField showAll="0"/>
    <pivotField axis="axisRow" showAll="0">
      <items count="6">
        <item x="1"/>
        <item x="0"/>
        <item x="4"/>
        <item x="3"/>
        <item x="2"/>
        <item t="default"/>
      </items>
    </pivotField>
    <pivotField showAll="0"/>
    <pivotField showAll="0"/>
    <pivotField dataField="1" showAll="0"/>
  </pivotFields>
  <rowFields count="1">
    <field x="6"/>
  </rowFields>
  <rowItems count="6">
    <i>
      <x/>
    </i>
    <i>
      <x v="1"/>
    </i>
    <i>
      <x v="2"/>
    </i>
    <i>
      <x v="3"/>
    </i>
    <i>
      <x v="4"/>
    </i>
    <i t="grand">
      <x/>
    </i>
  </rowItems>
  <colItems count="1">
    <i/>
  </colItems>
  <dataFields count="1">
    <dataField name="Sum of Sales" fld="9" baseField="0" baseItem="0"/>
  </dataFields>
  <chartFormats count="30">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6" count="1" selected="0">
            <x v="0"/>
          </reference>
        </references>
      </pivotArea>
    </chartFormat>
    <chartFormat chart="4" format="3">
      <pivotArea type="data" outline="0" fieldPosition="0">
        <references count="2">
          <reference field="4294967294" count="1" selected="0">
            <x v="0"/>
          </reference>
          <reference field="6" count="1" selected="0">
            <x v="1"/>
          </reference>
        </references>
      </pivotArea>
    </chartFormat>
    <chartFormat chart="4" format="4">
      <pivotArea type="data" outline="0" fieldPosition="0">
        <references count="2">
          <reference field="4294967294" count="1" selected="0">
            <x v="0"/>
          </reference>
          <reference field="6" count="1" selected="0">
            <x v="2"/>
          </reference>
        </references>
      </pivotArea>
    </chartFormat>
    <chartFormat chart="4" format="5">
      <pivotArea type="data" outline="0" fieldPosition="0">
        <references count="2">
          <reference field="4294967294" count="1" selected="0">
            <x v="0"/>
          </reference>
          <reference field="6" count="1" selected="0">
            <x v="3"/>
          </reference>
        </references>
      </pivotArea>
    </chartFormat>
    <chartFormat chart="4" format="6">
      <pivotArea type="data" outline="0" fieldPosition="0">
        <references count="2">
          <reference field="4294967294" count="1" selected="0">
            <x v="0"/>
          </reference>
          <reference field="6" count="1" selected="0">
            <x v="4"/>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6" count="1" selected="0">
            <x v="0"/>
          </reference>
        </references>
      </pivotArea>
    </chartFormat>
    <chartFormat chart="5" format="9">
      <pivotArea type="data" outline="0" fieldPosition="0">
        <references count="2">
          <reference field="4294967294" count="1" selected="0">
            <x v="0"/>
          </reference>
          <reference field="6" count="1" selected="0">
            <x v="1"/>
          </reference>
        </references>
      </pivotArea>
    </chartFormat>
    <chartFormat chart="5" format="10">
      <pivotArea type="data" outline="0" fieldPosition="0">
        <references count="2">
          <reference field="4294967294" count="1" selected="0">
            <x v="0"/>
          </reference>
          <reference field="6" count="1" selected="0">
            <x v="2"/>
          </reference>
        </references>
      </pivotArea>
    </chartFormat>
    <chartFormat chart="5" format="11">
      <pivotArea type="data" outline="0" fieldPosition="0">
        <references count="2">
          <reference field="4294967294" count="1" selected="0">
            <x v="0"/>
          </reference>
          <reference field="6" count="1" selected="0">
            <x v="3"/>
          </reference>
        </references>
      </pivotArea>
    </chartFormat>
    <chartFormat chart="5" format="12">
      <pivotArea type="data" outline="0" fieldPosition="0">
        <references count="2">
          <reference field="4294967294" count="1" selected="0">
            <x v="0"/>
          </reference>
          <reference field="6" count="1" selected="0">
            <x v="4"/>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6" count="1" selected="0">
            <x v="0"/>
          </reference>
        </references>
      </pivotArea>
    </chartFormat>
    <chartFormat chart="6" format="8">
      <pivotArea type="data" outline="0" fieldPosition="0">
        <references count="2">
          <reference field="4294967294" count="1" selected="0">
            <x v="0"/>
          </reference>
          <reference field="6" count="1" selected="0">
            <x v="1"/>
          </reference>
        </references>
      </pivotArea>
    </chartFormat>
    <chartFormat chart="6" format="9">
      <pivotArea type="data" outline="0" fieldPosition="0">
        <references count="2">
          <reference field="4294967294" count="1" selected="0">
            <x v="0"/>
          </reference>
          <reference field="6" count="1" selected="0">
            <x v="2"/>
          </reference>
        </references>
      </pivotArea>
    </chartFormat>
    <chartFormat chart="6" format="10">
      <pivotArea type="data" outline="0" fieldPosition="0">
        <references count="2">
          <reference field="4294967294" count="1" selected="0">
            <x v="0"/>
          </reference>
          <reference field="6" count="1" selected="0">
            <x v="3"/>
          </reference>
        </references>
      </pivotArea>
    </chartFormat>
    <chartFormat chart="6" format="11">
      <pivotArea type="data" outline="0" fieldPosition="0">
        <references count="2">
          <reference field="4294967294" count="1" selected="0">
            <x v="0"/>
          </reference>
          <reference field="6" count="1" selected="0">
            <x v="4"/>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6" count="1" selected="0">
            <x v="0"/>
          </reference>
        </references>
      </pivotArea>
    </chartFormat>
    <chartFormat chart="7" format="14">
      <pivotArea type="data" outline="0" fieldPosition="0">
        <references count="2">
          <reference field="4294967294" count="1" selected="0">
            <x v="0"/>
          </reference>
          <reference field="6" count="1" selected="0">
            <x v="1"/>
          </reference>
        </references>
      </pivotArea>
    </chartFormat>
    <chartFormat chart="7" format="15">
      <pivotArea type="data" outline="0" fieldPosition="0">
        <references count="2">
          <reference field="4294967294" count="1" selected="0">
            <x v="0"/>
          </reference>
          <reference field="6" count="1" selected="0">
            <x v="2"/>
          </reference>
        </references>
      </pivotArea>
    </chartFormat>
    <chartFormat chart="7" format="16">
      <pivotArea type="data" outline="0" fieldPosition="0">
        <references count="2">
          <reference field="4294967294" count="1" selected="0">
            <x v="0"/>
          </reference>
          <reference field="6" count="1" selected="0">
            <x v="3"/>
          </reference>
        </references>
      </pivotArea>
    </chartFormat>
    <chartFormat chart="7" format="17">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CE86EAC-F9E2-4F7E-A533-B50A69F29935}" sourceName="Product">
  <pivotTables>
    <pivotTable tabId="3" name="PivotTable5"/>
    <pivotTable tabId="5" name="PivotTable2"/>
    <pivotTable tabId="6" name="PivotTable3"/>
    <pivotTable tabId="7" name="PivotTable1"/>
    <pivotTable tabId="8" name="PivotTable4"/>
  </pivotTables>
  <data>
    <tabular pivotCacheId="987244448">
      <items count="7">
        <i x="1" s="1"/>
        <i x="3" s="1"/>
        <i x="0" s="1"/>
        <i x="4" s="1"/>
        <i x="6" s="1"/>
        <i x="2"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7D159905-533F-4303-BB42-4D444380E7C8}" cache="Slicer_Product" caption="Product" startItem="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05F160-F440-4633-8E08-B66A23F2DA2B}" name="Table1" displayName="Table1" ref="M22:Q23" totalsRowShown="0" tableBorderDxfId="1">
  <autoFilter ref="M22:Q23" xr:uid="{5605F160-F440-4633-8E08-B66A23F2DA2B}"/>
  <tableColumns count="5">
    <tableColumn id="1" xr3:uid="{69836D6C-C8F3-4B57-AECE-0BDDD7859AD9}" name="Average Sales " dataDxfId="0">
      <calculatedColumnFormula>AVERAGE('Raw Data'!J2:J301)</calculatedColumnFormula>
    </tableColumn>
    <tableColumn id="2" xr3:uid="{CB9D81FB-1A7A-4DA4-B5A6-43D7AB633B6B}" name="Total Orders"/>
    <tableColumn id="3" xr3:uid="{A5A907E6-C5D4-4575-958B-2A6EDE46A220}" name="Total Sales ">
      <calculatedColumnFormula>SUM('Raw Data'!J2:J301)</calculatedColumnFormula>
    </tableColumn>
    <tableColumn id="4" xr3:uid="{E44A7ADA-87A2-40FA-8BF3-BD2C363B8D4F}" name="Minimum Sales">
      <calculatedColumnFormula>MIN('Raw Data'!J2:J301)</calculatedColumnFormula>
    </tableColumn>
    <tableColumn id="5" xr3:uid="{A1F8C1A7-62B0-4E6C-B549-E273E653357B}" name="Total  Quantity">
      <calculatedColumnFormula>SUM(G2:G301)</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01"/>
  <sheetViews>
    <sheetView workbookViewId="0">
      <selection activeCell="L17" sqref="L17"/>
    </sheetView>
  </sheetViews>
  <sheetFormatPr defaultRowHeight="14.4" x14ac:dyDescent="0.3"/>
  <cols>
    <col min="1" max="1" width="8.44140625" bestFit="1" customWidth="1"/>
    <col min="2" max="2" width="10.33203125" bestFit="1" customWidth="1"/>
    <col min="3" max="3" width="11.109375" bestFit="1" customWidth="1"/>
    <col min="4" max="4" width="10.44140625" bestFit="1" customWidth="1"/>
    <col min="5" max="5" width="6.5546875" bestFit="1" customWidth="1"/>
    <col min="6" max="6" width="15.88671875" bestFit="1" customWidth="1"/>
    <col min="7" max="7" width="8" bestFit="1" customWidth="1"/>
    <col min="8" max="9" width="8" customWidth="1"/>
    <col min="10" max="10" width="6" bestFit="1" customWidth="1"/>
    <col min="13" max="13" width="14.88671875" customWidth="1"/>
    <col min="14" max="14" width="16.109375" customWidth="1"/>
    <col min="15" max="15" width="12.21875" customWidth="1"/>
    <col min="16" max="16" width="15.77734375" customWidth="1"/>
  </cols>
  <sheetData>
    <row r="1" spans="1:10" x14ac:dyDescent="0.3">
      <c r="A1" t="s">
        <v>0</v>
      </c>
      <c r="B1" t="s">
        <v>1</v>
      </c>
      <c r="C1" t="s">
        <v>2</v>
      </c>
      <c r="D1" t="s">
        <v>3</v>
      </c>
      <c r="E1" t="s">
        <v>4</v>
      </c>
      <c r="F1" t="s">
        <v>5</v>
      </c>
      <c r="G1" t="s">
        <v>6</v>
      </c>
      <c r="H1" t="s">
        <v>227</v>
      </c>
      <c r="I1" t="s">
        <v>226</v>
      </c>
      <c r="J1" t="s">
        <v>7</v>
      </c>
    </row>
    <row r="2" spans="1:10" x14ac:dyDescent="0.3">
      <c r="A2">
        <v>1</v>
      </c>
      <c r="B2" t="s">
        <v>8</v>
      </c>
      <c r="C2" t="s">
        <v>9</v>
      </c>
      <c r="D2" t="s">
        <v>10</v>
      </c>
      <c r="E2" t="s">
        <v>11</v>
      </c>
      <c r="F2" t="s">
        <v>12</v>
      </c>
      <c r="G2">
        <v>2</v>
      </c>
      <c r="H2" t="s">
        <v>230</v>
      </c>
      <c r="I2" t="s">
        <v>232</v>
      </c>
      <c r="J2">
        <v>9136</v>
      </c>
    </row>
    <row r="3" spans="1:10" x14ac:dyDescent="0.3">
      <c r="A3">
        <v>2</v>
      </c>
      <c r="B3" t="s">
        <v>13</v>
      </c>
      <c r="C3" t="s">
        <v>14</v>
      </c>
      <c r="D3" t="s">
        <v>15</v>
      </c>
      <c r="E3" t="s">
        <v>11</v>
      </c>
      <c r="F3" t="s">
        <v>16</v>
      </c>
      <c r="G3">
        <v>1</v>
      </c>
      <c r="H3" t="s">
        <v>230</v>
      </c>
      <c r="I3" t="s">
        <v>233</v>
      </c>
      <c r="J3">
        <v>4268</v>
      </c>
    </row>
    <row r="4" spans="1:10" x14ac:dyDescent="0.3">
      <c r="A4">
        <v>3</v>
      </c>
      <c r="B4" t="s">
        <v>17</v>
      </c>
      <c r="C4" t="s">
        <v>18</v>
      </c>
      <c r="D4" t="s">
        <v>19</v>
      </c>
      <c r="E4" t="s">
        <v>11</v>
      </c>
      <c r="F4" t="s">
        <v>16</v>
      </c>
      <c r="G4">
        <v>1</v>
      </c>
      <c r="H4" t="s">
        <v>230</v>
      </c>
      <c r="I4" t="s">
        <v>234</v>
      </c>
      <c r="J4">
        <v>1060</v>
      </c>
    </row>
    <row r="5" spans="1:10" x14ac:dyDescent="0.3">
      <c r="A5">
        <v>4</v>
      </c>
      <c r="B5" t="s">
        <v>20</v>
      </c>
      <c r="C5" t="s">
        <v>21</v>
      </c>
      <c r="D5" t="s">
        <v>10</v>
      </c>
      <c r="E5" t="s">
        <v>22</v>
      </c>
      <c r="F5" t="s">
        <v>12</v>
      </c>
      <c r="G5">
        <v>5</v>
      </c>
      <c r="H5" t="s">
        <v>230</v>
      </c>
      <c r="I5" t="s">
        <v>235</v>
      </c>
      <c r="J5">
        <v>22465</v>
      </c>
    </row>
    <row r="6" spans="1:10" x14ac:dyDescent="0.3">
      <c r="A6">
        <v>5</v>
      </c>
      <c r="B6" t="s">
        <v>23</v>
      </c>
      <c r="C6" t="s">
        <v>24</v>
      </c>
      <c r="D6" t="s">
        <v>10</v>
      </c>
      <c r="E6" t="s">
        <v>22</v>
      </c>
      <c r="F6" t="s">
        <v>16</v>
      </c>
      <c r="G6">
        <v>5</v>
      </c>
      <c r="H6" t="s">
        <v>230</v>
      </c>
      <c r="I6" t="s">
        <v>236</v>
      </c>
      <c r="J6">
        <v>11410</v>
      </c>
    </row>
    <row r="7" spans="1:10" x14ac:dyDescent="0.3">
      <c r="A7">
        <v>6</v>
      </c>
      <c r="B7" t="s">
        <v>25</v>
      </c>
      <c r="C7" t="s">
        <v>14</v>
      </c>
      <c r="D7" t="s">
        <v>15</v>
      </c>
      <c r="E7" t="s">
        <v>11</v>
      </c>
      <c r="F7" t="s">
        <v>16</v>
      </c>
      <c r="G7">
        <v>5</v>
      </c>
      <c r="H7" t="s">
        <v>230</v>
      </c>
      <c r="I7" t="s">
        <v>232</v>
      </c>
      <c r="J7">
        <v>18640</v>
      </c>
    </row>
    <row r="8" spans="1:10" x14ac:dyDescent="0.3">
      <c r="A8">
        <v>7</v>
      </c>
      <c r="B8" t="s">
        <v>26</v>
      </c>
      <c r="C8" t="s">
        <v>14</v>
      </c>
      <c r="D8" t="s">
        <v>15</v>
      </c>
      <c r="E8" t="s">
        <v>22</v>
      </c>
      <c r="F8" t="s">
        <v>16</v>
      </c>
      <c r="G8">
        <v>4</v>
      </c>
      <c r="H8" t="s">
        <v>230</v>
      </c>
      <c r="I8" t="s">
        <v>237</v>
      </c>
      <c r="J8">
        <v>15380</v>
      </c>
    </row>
    <row r="9" spans="1:10" x14ac:dyDescent="0.3">
      <c r="A9">
        <v>8</v>
      </c>
      <c r="B9" t="s">
        <v>27</v>
      </c>
      <c r="C9" t="s">
        <v>9</v>
      </c>
      <c r="D9" t="s">
        <v>10</v>
      </c>
      <c r="E9" t="s">
        <v>28</v>
      </c>
      <c r="F9" t="s">
        <v>12</v>
      </c>
      <c r="G9">
        <v>4</v>
      </c>
      <c r="H9" t="s">
        <v>231</v>
      </c>
      <c r="I9" t="s">
        <v>234</v>
      </c>
      <c r="J9">
        <v>2984</v>
      </c>
    </row>
    <row r="10" spans="1:10" x14ac:dyDescent="0.3">
      <c r="A10">
        <v>9</v>
      </c>
      <c r="B10" t="s">
        <v>29</v>
      </c>
      <c r="C10" t="s">
        <v>30</v>
      </c>
      <c r="D10" t="s">
        <v>15</v>
      </c>
      <c r="E10" t="s">
        <v>31</v>
      </c>
      <c r="F10" t="s">
        <v>12</v>
      </c>
      <c r="G10">
        <v>5</v>
      </c>
      <c r="H10" t="s">
        <v>230</v>
      </c>
      <c r="I10" t="s">
        <v>237</v>
      </c>
      <c r="J10">
        <v>22110</v>
      </c>
    </row>
    <row r="11" spans="1:10" x14ac:dyDescent="0.3">
      <c r="A11">
        <v>10</v>
      </c>
      <c r="B11" t="s">
        <v>32</v>
      </c>
      <c r="C11" t="s">
        <v>14</v>
      </c>
      <c r="D11" t="s">
        <v>15</v>
      </c>
      <c r="E11" t="s">
        <v>28</v>
      </c>
      <c r="F11" t="s">
        <v>12</v>
      </c>
      <c r="G11">
        <v>4</v>
      </c>
      <c r="H11" t="s">
        <v>230</v>
      </c>
      <c r="I11" t="s">
        <v>236</v>
      </c>
      <c r="J11">
        <v>9820</v>
      </c>
    </row>
    <row r="12" spans="1:10" x14ac:dyDescent="0.3">
      <c r="A12">
        <v>11</v>
      </c>
      <c r="B12" t="s">
        <v>33</v>
      </c>
      <c r="C12" t="s">
        <v>9</v>
      </c>
      <c r="D12" t="s">
        <v>10</v>
      </c>
      <c r="E12" t="s">
        <v>28</v>
      </c>
      <c r="F12" t="s">
        <v>12</v>
      </c>
      <c r="G12">
        <v>1</v>
      </c>
      <c r="H12" t="s">
        <v>231</v>
      </c>
      <c r="I12" t="s">
        <v>238</v>
      </c>
      <c r="J12">
        <v>4051</v>
      </c>
    </row>
    <row r="13" spans="1:10" x14ac:dyDescent="0.3">
      <c r="A13">
        <v>12</v>
      </c>
      <c r="B13" t="s">
        <v>34</v>
      </c>
      <c r="C13" t="s">
        <v>30</v>
      </c>
      <c r="D13" t="s">
        <v>15</v>
      </c>
      <c r="E13" t="s">
        <v>11</v>
      </c>
      <c r="F13" t="s">
        <v>16</v>
      </c>
      <c r="G13">
        <v>1</v>
      </c>
      <c r="H13" t="s">
        <v>230</v>
      </c>
      <c r="I13" t="s">
        <v>239</v>
      </c>
      <c r="J13">
        <v>3937</v>
      </c>
    </row>
    <row r="14" spans="1:10" x14ac:dyDescent="0.3">
      <c r="A14">
        <v>13</v>
      </c>
      <c r="B14" t="s">
        <v>35</v>
      </c>
      <c r="C14" t="s">
        <v>14</v>
      </c>
      <c r="D14" t="s">
        <v>15</v>
      </c>
      <c r="E14" t="s">
        <v>31</v>
      </c>
      <c r="F14" t="s">
        <v>16</v>
      </c>
      <c r="G14">
        <v>5</v>
      </c>
      <c r="H14" t="s">
        <v>230</v>
      </c>
      <c r="I14" t="s">
        <v>240</v>
      </c>
      <c r="J14">
        <v>15550</v>
      </c>
    </row>
    <row r="15" spans="1:10" x14ac:dyDescent="0.3">
      <c r="A15">
        <v>14</v>
      </c>
      <c r="B15" t="s">
        <v>36</v>
      </c>
      <c r="C15" t="s">
        <v>9</v>
      </c>
      <c r="D15" t="s">
        <v>10</v>
      </c>
      <c r="E15" t="s">
        <v>28</v>
      </c>
      <c r="F15" t="s">
        <v>12</v>
      </c>
      <c r="G15">
        <v>5</v>
      </c>
      <c r="H15" t="s">
        <v>231</v>
      </c>
      <c r="I15" t="s">
        <v>232</v>
      </c>
      <c r="J15">
        <v>10385</v>
      </c>
    </row>
    <row r="16" spans="1:10" x14ac:dyDescent="0.3">
      <c r="A16">
        <v>15</v>
      </c>
      <c r="B16" t="s">
        <v>37</v>
      </c>
      <c r="C16" t="s">
        <v>21</v>
      </c>
      <c r="D16" t="s">
        <v>10</v>
      </c>
      <c r="E16" t="s">
        <v>22</v>
      </c>
      <c r="F16" t="s">
        <v>12</v>
      </c>
      <c r="G16">
        <v>1</v>
      </c>
      <c r="H16" t="s">
        <v>231</v>
      </c>
      <c r="I16" t="s">
        <v>241</v>
      </c>
      <c r="J16">
        <v>2326</v>
      </c>
    </row>
    <row r="17" spans="1:17" x14ac:dyDescent="0.3">
      <c r="A17">
        <v>16</v>
      </c>
      <c r="B17" t="s">
        <v>38</v>
      </c>
      <c r="C17" t="s">
        <v>39</v>
      </c>
      <c r="D17" t="s">
        <v>19</v>
      </c>
      <c r="E17" t="s">
        <v>22</v>
      </c>
      <c r="F17" t="s">
        <v>12</v>
      </c>
      <c r="G17">
        <v>5</v>
      </c>
      <c r="H17" t="s">
        <v>230</v>
      </c>
      <c r="I17" t="s">
        <v>234</v>
      </c>
      <c r="J17">
        <v>3710</v>
      </c>
    </row>
    <row r="18" spans="1:17" x14ac:dyDescent="0.3">
      <c r="A18">
        <v>17</v>
      </c>
      <c r="B18" t="s">
        <v>40</v>
      </c>
      <c r="C18" t="s">
        <v>30</v>
      </c>
      <c r="D18" t="s">
        <v>15</v>
      </c>
      <c r="E18" t="s">
        <v>22</v>
      </c>
      <c r="F18" t="s">
        <v>16</v>
      </c>
      <c r="G18">
        <v>2</v>
      </c>
      <c r="H18" t="s">
        <v>230</v>
      </c>
      <c r="I18" t="s">
        <v>240</v>
      </c>
      <c r="J18">
        <v>1466</v>
      </c>
    </row>
    <row r="19" spans="1:17" x14ac:dyDescent="0.3">
      <c r="A19">
        <v>18</v>
      </c>
      <c r="B19" t="s">
        <v>41</v>
      </c>
      <c r="C19" t="s">
        <v>18</v>
      </c>
      <c r="D19" t="s">
        <v>19</v>
      </c>
      <c r="E19" t="s">
        <v>11</v>
      </c>
      <c r="F19" t="s">
        <v>12</v>
      </c>
      <c r="G19">
        <v>4</v>
      </c>
      <c r="H19" t="s">
        <v>231</v>
      </c>
      <c r="I19" t="s">
        <v>239</v>
      </c>
      <c r="J19">
        <v>17640</v>
      </c>
    </row>
    <row r="20" spans="1:17" x14ac:dyDescent="0.3">
      <c r="A20">
        <v>19</v>
      </c>
      <c r="B20" t="s">
        <v>42</v>
      </c>
      <c r="C20" t="s">
        <v>21</v>
      </c>
      <c r="D20" t="s">
        <v>10</v>
      </c>
      <c r="E20" t="s">
        <v>31</v>
      </c>
      <c r="F20" t="s">
        <v>16</v>
      </c>
      <c r="G20">
        <v>1</v>
      </c>
      <c r="H20" t="s">
        <v>230</v>
      </c>
      <c r="I20" t="s">
        <v>240</v>
      </c>
      <c r="J20">
        <v>3616</v>
      </c>
    </row>
    <row r="21" spans="1:17" x14ac:dyDescent="0.3">
      <c r="A21">
        <v>20</v>
      </c>
      <c r="B21" t="s">
        <v>43</v>
      </c>
      <c r="C21" t="s">
        <v>18</v>
      </c>
      <c r="D21" t="s">
        <v>19</v>
      </c>
      <c r="E21" t="s">
        <v>11</v>
      </c>
      <c r="F21" t="s">
        <v>12</v>
      </c>
      <c r="G21">
        <v>5</v>
      </c>
      <c r="H21" t="s">
        <v>231</v>
      </c>
      <c r="I21" t="s">
        <v>236</v>
      </c>
      <c r="J21">
        <v>24275</v>
      </c>
    </row>
    <row r="22" spans="1:17" x14ac:dyDescent="0.3">
      <c r="A22">
        <v>21</v>
      </c>
      <c r="B22" t="s">
        <v>44</v>
      </c>
      <c r="C22" t="s">
        <v>21</v>
      </c>
      <c r="D22" t="s">
        <v>10</v>
      </c>
      <c r="E22" t="s">
        <v>28</v>
      </c>
      <c r="F22" t="s">
        <v>12</v>
      </c>
      <c r="G22">
        <v>3</v>
      </c>
      <c r="H22" t="s">
        <v>231</v>
      </c>
      <c r="I22" t="s">
        <v>239</v>
      </c>
      <c r="J22">
        <v>11046</v>
      </c>
      <c r="M22" t="s">
        <v>228</v>
      </c>
      <c r="N22" t="s">
        <v>248</v>
      </c>
      <c r="O22" t="s">
        <v>244</v>
      </c>
      <c r="P22" t="s">
        <v>229</v>
      </c>
      <c r="Q22" t="s">
        <v>247</v>
      </c>
    </row>
    <row r="23" spans="1:17" x14ac:dyDescent="0.3">
      <c r="A23">
        <v>22</v>
      </c>
      <c r="B23" t="s">
        <v>45</v>
      </c>
      <c r="C23" t="s">
        <v>24</v>
      </c>
      <c r="D23" t="s">
        <v>10</v>
      </c>
      <c r="E23" t="s">
        <v>22</v>
      </c>
      <c r="F23" t="s">
        <v>16</v>
      </c>
      <c r="G23">
        <v>5</v>
      </c>
      <c r="H23" t="s">
        <v>230</v>
      </c>
      <c r="I23" t="s">
        <v>242</v>
      </c>
      <c r="J23">
        <v>16240</v>
      </c>
      <c r="M23" s="1">
        <f>AVERAGE('Raw Data'!J2:J301)</f>
        <v>8894.0433333333331</v>
      </c>
      <c r="N23">
        <v>300</v>
      </c>
      <c r="O23">
        <f>SUM('Raw Data'!J2:J301)</f>
        <v>2668213</v>
      </c>
      <c r="P23">
        <f>MIN('Raw Data'!J2:J301)</f>
        <v>584</v>
      </c>
      <c r="Q23">
        <f>SUM(G2:G301)</f>
        <v>910</v>
      </c>
    </row>
    <row r="24" spans="1:17" x14ac:dyDescent="0.3">
      <c r="A24">
        <v>23</v>
      </c>
      <c r="B24" t="s">
        <v>46</v>
      </c>
      <c r="C24" t="s">
        <v>21</v>
      </c>
      <c r="D24" t="s">
        <v>10</v>
      </c>
      <c r="E24" t="s">
        <v>22</v>
      </c>
      <c r="F24" t="s">
        <v>12</v>
      </c>
      <c r="G24">
        <v>4</v>
      </c>
      <c r="H24" t="s">
        <v>230</v>
      </c>
      <c r="I24" t="s">
        <v>238</v>
      </c>
      <c r="J24">
        <v>15600</v>
      </c>
    </row>
    <row r="25" spans="1:17" x14ac:dyDescent="0.3">
      <c r="A25">
        <v>24</v>
      </c>
      <c r="B25" t="s">
        <v>47</v>
      </c>
      <c r="C25" t="s">
        <v>39</v>
      </c>
      <c r="D25" t="s">
        <v>19</v>
      </c>
      <c r="E25" t="s">
        <v>28</v>
      </c>
      <c r="F25" t="s">
        <v>12</v>
      </c>
      <c r="G25">
        <v>4</v>
      </c>
      <c r="H25" t="s">
        <v>230</v>
      </c>
      <c r="I25" t="s">
        <v>241</v>
      </c>
      <c r="J25">
        <v>9864</v>
      </c>
    </row>
    <row r="26" spans="1:17" x14ac:dyDescent="0.3">
      <c r="A26">
        <v>25</v>
      </c>
      <c r="B26" t="s">
        <v>48</v>
      </c>
      <c r="C26" t="s">
        <v>24</v>
      </c>
      <c r="D26" t="s">
        <v>10</v>
      </c>
      <c r="E26" t="s">
        <v>31</v>
      </c>
      <c r="F26" t="s">
        <v>12</v>
      </c>
      <c r="G26">
        <v>2</v>
      </c>
      <c r="H26" t="s">
        <v>230</v>
      </c>
      <c r="I26" t="s">
        <v>235</v>
      </c>
      <c r="J26">
        <v>5150</v>
      </c>
    </row>
    <row r="27" spans="1:17" x14ac:dyDescent="0.3">
      <c r="A27">
        <v>26</v>
      </c>
      <c r="B27" t="s">
        <v>49</v>
      </c>
      <c r="C27" t="s">
        <v>21</v>
      </c>
      <c r="D27" t="s">
        <v>10</v>
      </c>
      <c r="E27" t="s">
        <v>11</v>
      </c>
      <c r="F27" t="s">
        <v>12</v>
      </c>
      <c r="G27">
        <v>2</v>
      </c>
      <c r="H27" t="s">
        <v>230</v>
      </c>
      <c r="I27" t="s">
        <v>237</v>
      </c>
      <c r="J27">
        <v>1484</v>
      </c>
    </row>
    <row r="28" spans="1:17" x14ac:dyDescent="0.3">
      <c r="A28">
        <v>27</v>
      </c>
      <c r="B28" t="s">
        <v>40</v>
      </c>
      <c r="C28" t="s">
        <v>30</v>
      </c>
      <c r="D28" t="s">
        <v>15</v>
      </c>
      <c r="E28" t="s">
        <v>31</v>
      </c>
      <c r="F28" t="s">
        <v>16</v>
      </c>
      <c r="G28">
        <v>5</v>
      </c>
      <c r="H28" t="s">
        <v>230</v>
      </c>
      <c r="I28" t="s">
        <v>240</v>
      </c>
      <c r="J28">
        <v>19700</v>
      </c>
    </row>
    <row r="29" spans="1:17" x14ac:dyDescent="0.3">
      <c r="A29">
        <v>28</v>
      </c>
      <c r="B29" t="s">
        <v>38</v>
      </c>
      <c r="C29" t="s">
        <v>24</v>
      </c>
      <c r="D29" t="s">
        <v>10</v>
      </c>
      <c r="E29" t="s">
        <v>28</v>
      </c>
      <c r="F29" t="s">
        <v>16</v>
      </c>
      <c r="G29">
        <v>1</v>
      </c>
      <c r="H29" t="s">
        <v>230</v>
      </c>
      <c r="I29" t="s">
        <v>234</v>
      </c>
      <c r="J29">
        <v>4035</v>
      </c>
    </row>
    <row r="30" spans="1:17" x14ac:dyDescent="0.3">
      <c r="A30">
        <v>29</v>
      </c>
      <c r="B30" t="s">
        <v>50</v>
      </c>
      <c r="C30" t="s">
        <v>30</v>
      </c>
      <c r="D30" t="s">
        <v>15</v>
      </c>
      <c r="E30" t="s">
        <v>31</v>
      </c>
      <c r="F30" t="s">
        <v>12</v>
      </c>
      <c r="G30">
        <v>3</v>
      </c>
      <c r="H30" t="s">
        <v>231</v>
      </c>
      <c r="I30" t="s">
        <v>235</v>
      </c>
      <c r="J30">
        <v>4941</v>
      </c>
    </row>
    <row r="31" spans="1:17" x14ac:dyDescent="0.3">
      <c r="A31">
        <v>30</v>
      </c>
      <c r="B31" t="s">
        <v>51</v>
      </c>
      <c r="C31" t="s">
        <v>30</v>
      </c>
      <c r="D31" t="s">
        <v>15</v>
      </c>
      <c r="E31" t="s">
        <v>22</v>
      </c>
      <c r="F31" t="s">
        <v>12</v>
      </c>
      <c r="G31">
        <v>3</v>
      </c>
      <c r="H31" t="s">
        <v>230</v>
      </c>
      <c r="I31" t="s">
        <v>233</v>
      </c>
      <c r="J31">
        <v>2706</v>
      </c>
    </row>
    <row r="32" spans="1:17" x14ac:dyDescent="0.3">
      <c r="A32">
        <v>31</v>
      </c>
      <c r="B32" t="s">
        <v>52</v>
      </c>
      <c r="C32" t="s">
        <v>39</v>
      </c>
      <c r="D32" t="s">
        <v>19</v>
      </c>
      <c r="E32" t="s">
        <v>22</v>
      </c>
      <c r="F32" t="s">
        <v>12</v>
      </c>
      <c r="G32">
        <v>1</v>
      </c>
      <c r="H32" t="s">
        <v>230</v>
      </c>
      <c r="I32" t="s">
        <v>236</v>
      </c>
      <c r="J32">
        <v>1911</v>
      </c>
    </row>
    <row r="33" spans="1:10" x14ac:dyDescent="0.3">
      <c r="A33">
        <v>32</v>
      </c>
      <c r="B33" t="s">
        <v>53</v>
      </c>
      <c r="C33" t="s">
        <v>18</v>
      </c>
      <c r="D33" t="s">
        <v>19</v>
      </c>
      <c r="E33" t="s">
        <v>22</v>
      </c>
      <c r="F33" t="s">
        <v>12</v>
      </c>
      <c r="G33">
        <v>5</v>
      </c>
      <c r="H33" t="s">
        <v>230</v>
      </c>
      <c r="I33" t="s">
        <v>241</v>
      </c>
      <c r="J33">
        <v>19285</v>
      </c>
    </row>
    <row r="34" spans="1:10" x14ac:dyDescent="0.3">
      <c r="A34">
        <v>33</v>
      </c>
      <c r="B34" t="s">
        <v>54</v>
      </c>
      <c r="C34" t="s">
        <v>24</v>
      </c>
      <c r="D34" t="s">
        <v>10</v>
      </c>
      <c r="E34" t="s">
        <v>11</v>
      </c>
      <c r="F34" t="s">
        <v>16</v>
      </c>
      <c r="G34">
        <v>5</v>
      </c>
      <c r="H34" t="s">
        <v>230</v>
      </c>
      <c r="I34" t="s">
        <v>239</v>
      </c>
      <c r="J34">
        <v>24810</v>
      </c>
    </row>
    <row r="35" spans="1:10" x14ac:dyDescent="0.3">
      <c r="A35">
        <v>34</v>
      </c>
      <c r="B35" t="s">
        <v>55</v>
      </c>
      <c r="C35" t="s">
        <v>21</v>
      </c>
      <c r="D35" t="s">
        <v>10</v>
      </c>
      <c r="E35" t="s">
        <v>11</v>
      </c>
      <c r="F35" t="s">
        <v>16</v>
      </c>
      <c r="G35">
        <v>5</v>
      </c>
      <c r="H35" t="s">
        <v>231</v>
      </c>
      <c r="I35" t="s">
        <v>243</v>
      </c>
      <c r="J35">
        <v>22085</v>
      </c>
    </row>
    <row r="36" spans="1:10" x14ac:dyDescent="0.3">
      <c r="A36">
        <v>35</v>
      </c>
      <c r="B36" t="s">
        <v>56</v>
      </c>
      <c r="C36" t="s">
        <v>18</v>
      </c>
      <c r="D36" t="s">
        <v>19</v>
      </c>
      <c r="E36" t="s">
        <v>11</v>
      </c>
      <c r="F36" t="s">
        <v>16</v>
      </c>
      <c r="G36">
        <v>4</v>
      </c>
      <c r="H36" t="s">
        <v>230</v>
      </c>
      <c r="I36" t="s">
        <v>239</v>
      </c>
      <c r="J36">
        <v>19360</v>
      </c>
    </row>
    <row r="37" spans="1:10" x14ac:dyDescent="0.3">
      <c r="A37">
        <v>36</v>
      </c>
      <c r="B37" t="s">
        <v>57</v>
      </c>
      <c r="C37" t="s">
        <v>39</v>
      </c>
      <c r="D37" t="s">
        <v>19</v>
      </c>
      <c r="E37" t="s">
        <v>11</v>
      </c>
      <c r="F37" t="s">
        <v>16</v>
      </c>
      <c r="G37">
        <v>2</v>
      </c>
      <c r="H37" t="s">
        <v>231</v>
      </c>
      <c r="I37" t="s">
        <v>243</v>
      </c>
      <c r="J37">
        <v>4486</v>
      </c>
    </row>
    <row r="38" spans="1:10" x14ac:dyDescent="0.3">
      <c r="A38">
        <v>37</v>
      </c>
      <c r="B38" t="s">
        <v>58</v>
      </c>
      <c r="C38" t="s">
        <v>18</v>
      </c>
      <c r="D38" t="s">
        <v>19</v>
      </c>
      <c r="E38" t="s">
        <v>11</v>
      </c>
      <c r="F38" t="s">
        <v>12</v>
      </c>
      <c r="G38">
        <v>3</v>
      </c>
      <c r="H38" t="s">
        <v>230</v>
      </c>
      <c r="I38" t="s">
        <v>237</v>
      </c>
      <c r="J38">
        <v>8835</v>
      </c>
    </row>
    <row r="39" spans="1:10" x14ac:dyDescent="0.3">
      <c r="A39">
        <v>38</v>
      </c>
      <c r="B39" t="s">
        <v>59</v>
      </c>
      <c r="C39" t="s">
        <v>18</v>
      </c>
      <c r="D39" t="s">
        <v>19</v>
      </c>
      <c r="E39" t="s">
        <v>22</v>
      </c>
      <c r="F39" t="s">
        <v>12</v>
      </c>
      <c r="G39">
        <v>5</v>
      </c>
      <c r="H39" t="s">
        <v>230</v>
      </c>
      <c r="I39" t="s">
        <v>236</v>
      </c>
      <c r="J39">
        <v>7240</v>
      </c>
    </row>
    <row r="40" spans="1:10" x14ac:dyDescent="0.3">
      <c r="A40">
        <v>39</v>
      </c>
      <c r="B40" t="s">
        <v>60</v>
      </c>
      <c r="C40" t="s">
        <v>21</v>
      </c>
      <c r="D40" t="s">
        <v>10</v>
      </c>
      <c r="E40" t="s">
        <v>28</v>
      </c>
      <c r="F40" t="s">
        <v>12</v>
      </c>
      <c r="G40">
        <v>1</v>
      </c>
      <c r="H40" t="s">
        <v>231</v>
      </c>
      <c r="I40" t="s">
        <v>240</v>
      </c>
      <c r="J40">
        <v>2439</v>
      </c>
    </row>
    <row r="41" spans="1:10" x14ac:dyDescent="0.3">
      <c r="A41">
        <v>40</v>
      </c>
      <c r="B41" t="s">
        <v>58</v>
      </c>
      <c r="C41" t="s">
        <v>39</v>
      </c>
      <c r="D41" t="s">
        <v>19</v>
      </c>
      <c r="E41" t="s">
        <v>11</v>
      </c>
      <c r="F41" t="s">
        <v>16</v>
      </c>
      <c r="G41">
        <v>1</v>
      </c>
      <c r="H41" t="s">
        <v>230</v>
      </c>
      <c r="I41" t="s">
        <v>237</v>
      </c>
      <c r="J41">
        <v>4255</v>
      </c>
    </row>
    <row r="42" spans="1:10" x14ac:dyDescent="0.3">
      <c r="A42">
        <v>41</v>
      </c>
      <c r="B42" t="s">
        <v>61</v>
      </c>
      <c r="C42" t="s">
        <v>18</v>
      </c>
      <c r="D42" t="s">
        <v>19</v>
      </c>
      <c r="E42" t="s">
        <v>22</v>
      </c>
      <c r="F42" t="s">
        <v>12</v>
      </c>
      <c r="G42">
        <v>1</v>
      </c>
      <c r="H42" t="s">
        <v>231</v>
      </c>
      <c r="I42" t="s">
        <v>236</v>
      </c>
      <c r="J42">
        <v>1763</v>
      </c>
    </row>
    <row r="43" spans="1:10" x14ac:dyDescent="0.3">
      <c r="A43">
        <v>42</v>
      </c>
      <c r="B43" t="s">
        <v>62</v>
      </c>
      <c r="C43" t="s">
        <v>30</v>
      </c>
      <c r="D43" t="s">
        <v>15</v>
      </c>
      <c r="E43" t="s">
        <v>31</v>
      </c>
      <c r="F43" t="s">
        <v>16</v>
      </c>
      <c r="G43">
        <v>1</v>
      </c>
      <c r="H43" t="s">
        <v>230</v>
      </c>
      <c r="I43" t="s">
        <v>237</v>
      </c>
      <c r="J43">
        <v>1405</v>
      </c>
    </row>
    <row r="44" spans="1:10" x14ac:dyDescent="0.3">
      <c r="A44">
        <v>43</v>
      </c>
      <c r="B44" t="s">
        <v>63</v>
      </c>
      <c r="C44" t="s">
        <v>18</v>
      </c>
      <c r="D44" t="s">
        <v>19</v>
      </c>
      <c r="E44" t="s">
        <v>22</v>
      </c>
      <c r="F44" t="s">
        <v>12</v>
      </c>
      <c r="G44">
        <v>1</v>
      </c>
      <c r="H44" t="s">
        <v>230</v>
      </c>
      <c r="I44" t="s">
        <v>241</v>
      </c>
      <c r="J44">
        <v>1418</v>
      </c>
    </row>
    <row r="45" spans="1:10" x14ac:dyDescent="0.3">
      <c r="A45">
        <v>44</v>
      </c>
      <c r="B45" t="s">
        <v>64</v>
      </c>
      <c r="C45" t="s">
        <v>30</v>
      </c>
      <c r="D45" t="s">
        <v>15</v>
      </c>
      <c r="E45" t="s">
        <v>22</v>
      </c>
      <c r="F45" t="s">
        <v>12</v>
      </c>
      <c r="G45">
        <v>2</v>
      </c>
      <c r="H45" t="s">
        <v>230</v>
      </c>
      <c r="I45" t="s">
        <v>237</v>
      </c>
      <c r="J45">
        <v>9166</v>
      </c>
    </row>
    <row r="46" spans="1:10" x14ac:dyDescent="0.3">
      <c r="A46">
        <v>45</v>
      </c>
      <c r="B46" t="s">
        <v>65</v>
      </c>
      <c r="C46" t="s">
        <v>9</v>
      </c>
      <c r="D46" t="s">
        <v>10</v>
      </c>
      <c r="E46" t="s">
        <v>22</v>
      </c>
      <c r="F46" t="s">
        <v>12</v>
      </c>
      <c r="G46">
        <v>5</v>
      </c>
      <c r="H46" t="s">
        <v>230</v>
      </c>
      <c r="I46" t="s">
        <v>238</v>
      </c>
      <c r="J46">
        <v>23560</v>
      </c>
    </row>
    <row r="47" spans="1:10" x14ac:dyDescent="0.3">
      <c r="A47">
        <v>46</v>
      </c>
      <c r="B47" t="s">
        <v>66</v>
      </c>
      <c r="C47" t="s">
        <v>39</v>
      </c>
      <c r="D47" t="s">
        <v>19</v>
      </c>
      <c r="E47" t="s">
        <v>11</v>
      </c>
      <c r="F47" t="s">
        <v>16</v>
      </c>
      <c r="G47">
        <v>4</v>
      </c>
      <c r="H47" t="s">
        <v>230</v>
      </c>
      <c r="I47" t="s">
        <v>243</v>
      </c>
      <c r="J47">
        <v>19840</v>
      </c>
    </row>
    <row r="48" spans="1:10" x14ac:dyDescent="0.3">
      <c r="A48">
        <v>47</v>
      </c>
      <c r="B48" t="s">
        <v>67</v>
      </c>
      <c r="C48" t="s">
        <v>21</v>
      </c>
      <c r="D48" t="s">
        <v>10</v>
      </c>
      <c r="E48" t="s">
        <v>11</v>
      </c>
      <c r="F48" t="s">
        <v>16</v>
      </c>
      <c r="G48">
        <v>1</v>
      </c>
      <c r="H48" t="s">
        <v>230</v>
      </c>
      <c r="I48" t="s">
        <v>239</v>
      </c>
      <c r="J48">
        <v>3345</v>
      </c>
    </row>
    <row r="49" spans="1:10" x14ac:dyDescent="0.3">
      <c r="A49">
        <v>48</v>
      </c>
      <c r="B49" t="s">
        <v>68</v>
      </c>
      <c r="C49" t="s">
        <v>24</v>
      </c>
      <c r="D49" t="s">
        <v>10</v>
      </c>
      <c r="E49" t="s">
        <v>11</v>
      </c>
      <c r="F49" t="s">
        <v>12</v>
      </c>
      <c r="G49">
        <v>5</v>
      </c>
      <c r="H49" t="s">
        <v>231</v>
      </c>
      <c r="I49" t="s">
        <v>241</v>
      </c>
      <c r="J49">
        <v>23165</v>
      </c>
    </row>
    <row r="50" spans="1:10" x14ac:dyDescent="0.3">
      <c r="A50">
        <v>49</v>
      </c>
      <c r="B50" t="s">
        <v>69</v>
      </c>
      <c r="C50" t="s">
        <v>21</v>
      </c>
      <c r="D50" t="s">
        <v>10</v>
      </c>
      <c r="E50" t="s">
        <v>22</v>
      </c>
      <c r="F50" t="s">
        <v>16</v>
      </c>
      <c r="G50">
        <v>5</v>
      </c>
      <c r="H50" t="s">
        <v>230</v>
      </c>
      <c r="I50" t="s">
        <v>240</v>
      </c>
      <c r="J50">
        <v>10860</v>
      </c>
    </row>
    <row r="51" spans="1:10" x14ac:dyDescent="0.3">
      <c r="A51">
        <v>50</v>
      </c>
      <c r="B51" t="s">
        <v>70</v>
      </c>
      <c r="C51" t="s">
        <v>9</v>
      </c>
      <c r="D51" t="s">
        <v>10</v>
      </c>
      <c r="E51" t="s">
        <v>11</v>
      </c>
      <c r="F51" t="s">
        <v>12</v>
      </c>
      <c r="G51">
        <v>5</v>
      </c>
      <c r="H51" t="s">
        <v>231</v>
      </c>
      <c r="I51" t="s">
        <v>243</v>
      </c>
      <c r="J51">
        <v>2950</v>
      </c>
    </row>
    <row r="52" spans="1:10" x14ac:dyDescent="0.3">
      <c r="A52">
        <v>51</v>
      </c>
      <c r="B52" t="s">
        <v>71</v>
      </c>
      <c r="C52" t="s">
        <v>30</v>
      </c>
      <c r="D52" t="s">
        <v>15</v>
      </c>
      <c r="E52" t="s">
        <v>11</v>
      </c>
      <c r="F52" t="s">
        <v>16</v>
      </c>
      <c r="G52">
        <v>3</v>
      </c>
      <c r="H52" t="s">
        <v>231</v>
      </c>
      <c r="I52" t="s">
        <v>240</v>
      </c>
      <c r="J52">
        <v>3477</v>
      </c>
    </row>
    <row r="53" spans="1:10" x14ac:dyDescent="0.3">
      <c r="A53">
        <v>52</v>
      </c>
      <c r="B53" t="s">
        <v>72</v>
      </c>
      <c r="C53" t="s">
        <v>14</v>
      </c>
      <c r="D53" t="s">
        <v>15</v>
      </c>
      <c r="E53" t="s">
        <v>31</v>
      </c>
      <c r="F53" t="s">
        <v>16</v>
      </c>
      <c r="G53">
        <v>1</v>
      </c>
      <c r="H53" t="s">
        <v>230</v>
      </c>
      <c r="I53" t="s">
        <v>232</v>
      </c>
      <c r="J53">
        <v>2120</v>
      </c>
    </row>
    <row r="54" spans="1:10" x14ac:dyDescent="0.3">
      <c r="A54">
        <v>53</v>
      </c>
      <c r="B54" t="s">
        <v>59</v>
      </c>
      <c r="C54" t="s">
        <v>18</v>
      </c>
      <c r="D54" t="s">
        <v>19</v>
      </c>
      <c r="E54" t="s">
        <v>22</v>
      </c>
      <c r="F54" t="s">
        <v>16</v>
      </c>
      <c r="G54">
        <v>1</v>
      </c>
      <c r="H54" t="s">
        <v>230</v>
      </c>
      <c r="I54" t="s">
        <v>236</v>
      </c>
      <c r="J54">
        <v>2531</v>
      </c>
    </row>
    <row r="55" spans="1:10" x14ac:dyDescent="0.3">
      <c r="A55">
        <v>54</v>
      </c>
      <c r="B55" t="s">
        <v>34</v>
      </c>
      <c r="C55" t="s">
        <v>18</v>
      </c>
      <c r="D55" t="s">
        <v>19</v>
      </c>
      <c r="E55" t="s">
        <v>28</v>
      </c>
      <c r="F55" t="s">
        <v>16</v>
      </c>
      <c r="G55">
        <v>2</v>
      </c>
      <c r="H55" t="s">
        <v>230</v>
      </c>
      <c r="I55" t="s">
        <v>239</v>
      </c>
      <c r="J55">
        <v>9534</v>
      </c>
    </row>
    <row r="56" spans="1:10" x14ac:dyDescent="0.3">
      <c r="A56">
        <v>55</v>
      </c>
      <c r="B56" t="s">
        <v>73</v>
      </c>
      <c r="C56" t="s">
        <v>24</v>
      </c>
      <c r="D56" t="s">
        <v>10</v>
      </c>
      <c r="E56" t="s">
        <v>11</v>
      </c>
      <c r="F56" t="s">
        <v>16</v>
      </c>
      <c r="G56">
        <v>1</v>
      </c>
      <c r="H56" t="s">
        <v>230</v>
      </c>
      <c r="I56" t="s">
        <v>236</v>
      </c>
      <c r="J56">
        <v>584</v>
      </c>
    </row>
    <row r="57" spans="1:10" x14ac:dyDescent="0.3">
      <c r="A57">
        <v>56</v>
      </c>
      <c r="B57" t="s">
        <v>74</v>
      </c>
      <c r="C57" t="s">
        <v>18</v>
      </c>
      <c r="D57" t="s">
        <v>19</v>
      </c>
      <c r="E57" t="s">
        <v>31</v>
      </c>
      <c r="F57" t="s">
        <v>12</v>
      </c>
      <c r="G57">
        <v>1</v>
      </c>
      <c r="H57" t="s">
        <v>230</v>
      </c>
      <c r="I57" t="s">
        <v>233</v>
      </c>
      <c r="J57">
        <v>4190</v>
      </c>
    </row>
    <row r="58" spans="1:10" x14ac:dyDescent="0.3">
      <c r="A58">
        <v>57</v>
      </c>
      <c r="B58" t="s">
        <v>75</v>
      </c>
      <c r="C58" t="s">
        <v>9</v>
      </c>
      <c r="D58" t="s">
        <v>10</v>
      </c>
      <c r="E58" t="s">
        <v>28</v>
      </c>
      <c r="F58" t="s">
        <v>12</v>
      </c>
      <c r="G58">
        <v>2</v>
      </c>
      <c r="H58" t="s">
        <v>231</v>
      </c>
      <c r="I58" t="s">
        <v>232</v>
      </c>
      <c r="J58">
        <v>9278</v>
      </c>
    </row>
    <row r="59" spans="1:10" x14ac:dyDescent="0.3">
      <c r="A59">
        <v>58</v>
      </c>
      <c r="B59" t="s">
        <v>61</v>
      </c>
      <c r="C59" t="s">
        <v>30</v>
      </c>
      <c r="D59" t="s">
        <v>15</v>
      </c>
      <c r="E59" t="s">
        <v>11</v>
      </c>
      <c r="F59" t="s">
        <v>16</v>
      </c>
      <c r="G59">
        <v>4</v>
      </c>
      <c r="H59" t="s">
        <v>231</v>
      </c>
      <c r="I59" t="s">
        <v>236</v>
      </c>
      <c r="J59">
        <v>16720</v>
      </c>
    </row>
    <row r="60" spans="1:10" x14ac:dyDescent="0.3">
      <c r="A60">
        <v>59</v>
      </c>
      <c r="B60" t="s">
        <v>76</v>
      </c>
      <c r="C60" t="s">
        <v>14</v>
      </c>
      <c r="D60" t="s">
        <v>15</v>
      </c>
      <c r="E60" t="s">
        <v>31</v>
      </c>
      <c r="F60" t="s">
        <v>16</v>
      </c>
      <c r="G60">
        <v>4</v>
      </c>
      <c r="H60" t="s">
        <v>230</v>
      </c>
      <c r="I60" t="s">
        <v>241</v>
      </c>
      <c r="J60">
        <v>15200</v>
      </c>
    </row>
    <row r="61" spans="1:10" x14ac:dyDescent="0.3">
      <c r="A61">
        <v>60</v>
      </c>
      <c r="B61" t="s">
        <v>77</v>
      </c>
      <c r="C61" t="s">
        <v>39</v>
      </c>
      <c r="D61" t="s">
        <v>19</v>
      </c>
      <c r="E61" t="s">
        <v>22</v>
      </c>
      <c r="F61" t="s">
        <v>12</v>
      </c>
      <c r="G61">
        <v>4</v>
      </c>
      <c r="H61" t="s">
        <v>230</v>
      </c>
      <c r="I61" t="s">
        <v>237</v>
      </c>
      <c r="J61">
        <v>6992</v>
      </c>
    </row>
    <row r="62" spans="1:10" x14ac:dyDescent="0.3">
      <c r="A62">
        <v>61</v>
      </c>
      <c r="B62" t="s">
        <v>78</v>
      </c>
      <c r="C62" t="s">
        <v>9</v>
      </c>
      <c r="D62" t="s">
        <v>10</v>
      </c>
      <c r="E62" t="s">
        <v>22</v>
      </c>
      <c r="F62" t="s">
        <v>12</v>
      </c>
      <c r="G62">
        <v>1</v>
      </c>
      <c r="H62" t="s">
        <v>231</v>
      </c>
      <c r="I62" t="s">
        <v>233</v>
      </c>
      <c r="J62">
        <v>1763</v>
      </c>
    </row>
    <row r="63" spans="1:10" x14ac:dyDescent="0.3">
      <c r="A63">
        <v>62</v>
      </c>
      <c r="B63" t="s">
        <v>79</v>
      </c>
      <c r="C63" t="s">
        <v>21</v>
      </c>
      <c r="D63" t="s">
        <v>10</v>
      </c>
      <c r="E63" t="s">
        <v>22</v>
      </c>
      <c r="F63" t="s">
        <v>12</v>
      </c>
      <c r="G63">
        <v>2</v>
      </c>
      <c r="H63" t="s">
        <v>230</v>
      </c>
      <c r="I63" t="s">
        <v>240</v>
      </c>
      <c r="J63">
        <v>8304</v>
      </c>
    </row>
    <row r="64" spans="1:10" x14ac:dyDescent="0.3">
      <c r="A64">
        <v>63</v>
      </c>
      <c r="B64" t="s">
        <v>80</v>
      </c>
      <c r="C64" t="s">
        <v>9</v>
      </c>
      <c r="D64" t="s">
        <v>10</v>
      </c>
      <c r="E64" t="s">
        <v>31</v>
      </c>
      <c r="F64" t="s">
        <v>12</v>
      </c>
      <c r="G64">
        <v>2</v>
      </c>
      <c r="H64" t="s">
        <v>230</v>
      </c>
      <c r="I64" t="s">
        <v>234</v>
      </c>
      <c r="J64">
        <v>8338</v>
      </c>
    </row>
    <row r="65" spans="1:10" x14ac:dyDescent="0.3">
      <c r="A65">
        <v>64</v>
      </c>
      <c r="B65" t="s">
        <v>81</v>
      </c>
      <c r="C65" t="s">
        <v>21</v>
      </c>
      <c r="D65" t="s">
        <v>10</v>
      </c>
      <c r="E65" t="s">
        <v>11</v>
      </c>
      <c r="F65" t="s">
        <v>12</v>
      </c>
      <c r="G65">
        <v>4</v>
      </c>
      <c r="H65" t="s">
        <v>231</v>
      </c>
      <c r="I65" t="s">
        <v>240</v>
      </c>
      <c r="J65">
        <v>14376</v>
      </c>
    </row>
    <row r="66" spans="1:10" x14ac:dyDescent="0.3">
      <c r="A66">
        <v>65</v>
      </c>
      <c r="B66" t="s">
        <v>82</v>
      </c>
      <c r="C66" t="s">
        <v>24</v>
      </c>
      <c r="D66" t="s">
        <v>10</v>
      </c>
      <c r="E66" t="s">
        <v>22</v>
      </c>
      <c r="F66" t="s">
        <v>16</v>
      </c>
      <c r="G66">
        <v>2</v>
      </c>
      <c r="H66" t="s">
        <v>230</v>
      </c>
      <c r="I66" t="s">
        <v>243</v>
      </c>
      <c r="J66">
        <v>3068</v>
      </c>
    </row>
    <row r="67" spans="1:10" x14ac:dyDescent="0.3">
      <c r="A67">
        <v>66</v>
      </c>
      <c r="B67" t="s">
        <v>58</v>
      </c>
      <c r="C67" t="s">
        <v>24</v>
      </c>
      <c r="D67" t="s">
        <v>10</v>
      </c>
      <c r="E67" t="s">
        <v>28</v>
      </c>
      <c r="F67" t="s">
        <v>12</v>
      </c>
      <c r="G67">
        <v>5</v>
      </c>
      <c r="H67" t="s">
        <v>230</v>
      </c>
      <c r="I67" t="s">
        <v>237</v>
      </c>
      <c r="J67">
        <v>7160</v>
      </c>
    </row>
    <row r="68" spans="1:10" x14ac:dyDescent="0.3">
      <c r="A68">
        <v>67</v>
      </c>
      <c r="B68" t="s">
        <v>83</v>
      </c>
      <c r="C68" t="s">
        <v>30</v>
      </c>
      <c r="D68" t="s">
        <v>15</v>
      </c>
      <c r="E68" t="s">
        <v>31</v>
      </c>
      <c r="F68" t="s">
        <v>12</v>
      </c>
      <c r="G68">
        <v>3</v>
      </c>
      <c r="H68" t="s">
        <v>230</v>
      </c>
      <c r="I68" t="s">
        <v>233</v>
      </c>
      <c r="J68">
        <v>13272</v>
      </c>
    </row>
    <row r="69" spans="1:10" x14ac:dyDescent="0.3">
      <c r="A69">
        <v>68</v>
      </c>
      <c r="B69" t="s">
        <v>84</v>
      </c>
      <c r="C69" t="s">
        <v>21</v>
      </c>
      <c r="D69" t="s">
        <v>10</v>
      </c>
      <c r="E69" t="s">
        <v>31</v>
      </c>
      <c r="F69" t="s">
        <v>16</v>
      </c>
      <c r="G69">
        <v>3</v>
      </c>
      <c r="H69" t="s">
        <v>231</v>
      </c>
      <c r="I69" t="s">
        <v>234</v>
      </c>
      <c r="J69">
        <v>14994</v>
      </c>
    </row>
    <row r="70" spans="1:10" x14ac:dyDescent="0.3">
      <c r="A70">
        <v>69</v>
      </c>
      <c r="B70" t="s">
        <v>85</v>
      </c>
      <c r="C70" t="s">
        <v>9</v>
      </c>
      <c r="D70" t="s">
        <v>10</v>
      </c>
      <c r="E70" t="s">
        <v>31</v>
      </c>
      <c r="F70" t="s">
        <v>16</v>
      </c>
      <c r="G70">
        <v>1</v>
      </c>
      <c r="H70" t="s">
        <v>230</v>
      </c>
      <c r="I70" t="s">
        <v>232</v>
      </c>
      <c r="J70">
        <v>2945</v>
      </c>
    </row>
    <row r="71" spans="1:10" x14ac:dyDescent="0.3">
      <c r="A71">
        <v>70</v>
      </c>
      <c r="B71" t="s">
        <v>86</v>
      </c>
      <c r="C71" t="s">
        <v>21</v>
      </c>
      <c r="D71" t="s">
        <v>10</v>
      </c>
      <c r="E71" t="s">
        <v>11</v>
      </c>
      <c r="F71" t="s">
        <v>16</v>
      </c>
      <c r="G71">
        <v>2</v>
      </c>
      <c r="H71" t="s">
        <v>230</v>
      </c>
      <c r="I71" t="s">
        <v>239</v>
      </c>
      <c r="J71">
        <v>3730</v>
      </c>
    </row>
    <row r="72" spans="1:10" x14ac:dyDescent="0.3">
      <c r="A72">
        <v>71</v>
      </c>
      <c r="B72" t="s">
        <v>87</v>
      </c>
      <c r="C72" t="s">
        <v>18</v>
      </c>
      <c r="D72" t="s">
        <v>19</v>
      </c>
      <c r="E72" t="s">
        <v>22</v>
      </c>
      <c r="F72" t="s">
        <v>16</v>
      </c>
      <c r="G72">
        <v>4</v>
      </c>
      <c r="H72" t="s">
        <v>231</v>
      </c>
      <c r="I72" t="s">
        <v>242</v>
      </c>
      <c r="J72">
        <v>8960</v>
      </c>
    </row>
    <row r="73" spans="1:10" x14ac:dyDescent="0.3">
      <c r="A73">
        <v>72</v>
      </c>
      <c r="B73" t="s">
        <v>88</v>
      </c>
      <c r="C73" t="s">
        <v>30</v>
      </c>
      <c r="D73" t="s">
        <v>15</v>
      </c>
      <c r="E73" t="s">
        <v>28</v>
      </c>
      <c r="F73" t="s">
        <v>16</v>
      </c>
      <c r="G73">
        <v>4</v>
      </c>
      <c r="H73" t="s">
        <v>230</v>
      </c>
      <c r="I73" t="s">
        <v>239</v>
      </c>
      <c r="J73">
        <v>16556</v>
      </c>
    </row>
    <row r="74" spans="1:10" x14ac:dyDescent="0.3">
      <c r="A74">
        <v>73</v>
      </c>
      <c r="B74" t="s">
        <v>87</v>
      </c>
      <c r="C74" t="s">
        <v>24</v>
      </c>
      <c r="D74" t="s">
        <v>10</v>
      </c>
      <c r="E74" t="s">
        <v>28</v>
      </c>
      <c r="F74" t="s">
        <v>16</v>
      </c>
      <c r="G74">
        <v>3</v>
      </c>
      <c r="H74" t="s">
        <v>231</v>
      </c>
      <c r="I74" t="s">
        <v>242</v>
      </c>
      <c r="J74">
        <v>12762</v>
      </c>
    </row>
    <row r="75" spans="1:10" x14ac:dyDescent="0.3">
      <c r="A75">
        <v>74</v>
      </c>
      <c r="B75" t="s">
        <v>61</v>
      </c>
      <c r="C75" t="s">
        <v>24</v>
      </c>
      <c r="D75" t="s">
        <v>10</v>
      </c>
      <c r="E75" t="s">
        <v>22</v>
      </c>
      <c r="F75" t="s">
        <v>12</v>
      </c>
      <c r="G75">
        <v>4</v>
      </c>
      <c r="H75" t="s">
        <v>231</v>
      </c>
      <c r="I75" t="s">
        <v>236</v>
      </c>
      <c r="J75">
        <v>19516</v>
      </c>
    </row>
    <row r="76" spans="1:10" x14ac:dyDescent="0.3">
      <c r="A76">
        <v>75</v>
      </c>
      <c r="B76" t="s">
        <v>89</v>
      </c>
      <c r="C76" t="s">
        <v>30</v>
      </c>
      <c r="D76" t="s">
        <v>15</v>
      </c>
      <c r="E76" t="s">
        <v>22</v>
      </c>
      <c r="F76" t="s">
        <v>12</v>
      </c>
      <c r="G76">
        <v>1</v>
      </c>
      <c r="H76" t="s">
        <v>230</v>
      </c>
      <c r="I76" t="s">
        <v>237</v>
      </c>
      <c r="J76">
        <v>4467</v>
      </c>
    </row>
    <row r="77" spans="1:10" x14ac:dyDescent="0.3">
      <c r="A77">
        <v>76</v>
      </c>
      <c r="B77" t="s">
        <v>90</v>
      </c>
      <c r="C77" t="s">
        <v>18</v>
      </c>
      <c r="D77" t="s">
        <v>19</v>
      </c>
      <c r="E77" t="s">
        <v>11</v>
      </c>
      <c r="F77" t="s">
        <v>16</v>
      </c>
      <c r="G77">
        <v>3</v>
      </c>
      <c r="H77" t="s">
        <v>231</v>
      </c>
      <c r="I77" t="s">
        <v>237</v>
      </c>
      <c r="J77">
        <v>12465</v>
      </c>
    </row>
    <row r="78" spans="1:10" x14ac:dyDescent="0.3">
      <c r="A78">
        <v>77</v>
      </c>
      <c r="B78" t="s">
        <v>91</v>
      </c>
      <c r="C78" t="s">
        <v>24</v>
      </c>
      <c r="D78" t="s">
        <v>10</v>
      </c>
      <c r="E78" t="s">
        <v>28</v>
      </c>
      <c r="F78" t="s">
        <v>12</v>
      </c>
      <c r="G78">
        <v>4</v>
      </c>
      <c r="H78" t="s">
        <v>231</v>
      </c>
      <c r="I78" t="s">
        <v>234</v>
      </c>
      <c r="J78">
        <v>14108</v>
      </c>
    </row>
    <row r="79" spans="1:10" x14ac:dyDescent="0.3">
      <c r="A79">
        <v>78</v>
      </c>
      <c r="B79" t="s">
        <v>32</v>
      </c>
      <c r="C79" t="s">
        <v>39</v>
      </c>
      <c r="D79" t="s">
        <v>19</v>
      </c>
      <c r="E79" t="s">
        <v>11</v>
      </c>
      <c r="F79" t="s">
        <v>12</v>
      </c>
      <c r="G79">
        <v>1</v>
      </c>
      <c r="H79" t="s">
        <v>230</v>
      </c>
      <c r="I79" t="s">
        <v>236</v>
      </c>
      <c r="J79">
        <v>3583</v>
      </c>
    </row>
    <row r="80" spans="1:10" x14ac:dyDescent="0.3">
      <c r="A80">
        <v>79</v>
      </c>
      <c r="B80" t="s">
        <v>92</v>
      </c>
      <c r="C80" t="s">
        <v>9</v>
      </c>
      <c r="D80" t="s">
        <v>10</v>
      </c>
      <c r="E80" t="s">
        <v>28</v>
      </c>
      <c r="F80" t="s">
        <v>12</v>
      </c>
      <c r="G80">
        <v>5</v>
      </c>
      <c r="H80" t="s">
        <v>230</v>
      </c>
      <c r="I80" t="s">
        <v>238</v>
      </c>
      <c r="J80">
        <v>4520</v>
      </c>
    </row>
    <row r="81" spans="1:10" x14ac:dyDescent="0.3">
      <c r="A81">
        <v>80</v>
      </c>
      <c r="B81" t="s">
        <v>93</v>
      </c>
      <c r="C81" t="s">
        <v>18</v>
      </c>
      <c r="D81" t="s">
        <v>19</v>
      </c>
      <c r="E81" t="s">
        <v>11</v>
      </c>
      <c r="F81" t="s">
        <v>16</v>
      </c>
      <c r="G81">
        <v>2</v>
      </c>
      <c r="H81" t="s">
        <v>230</v>
      </c>
      <c r="I81" t="s">
        <v>240</v>
      </c>
      <c r="J81">
        <v>8698</v>
      </c>
    </row>
    <row r="82" spans="1:10" x14ac:dyDescent="0.3">
      <c r="A82">
        <v>81</v>
      </c>
      <c r="B82" t="s">
        <v>94</v>
      </c>
      <c r="C82" t="s">
        <v>21</v>
      </c>
      <c r="D82" t="s">
        <v>10</v>
      </c>
      <c r="E82" t="s">
        <v>11</v>
      </c>
      <c r="F82" t="s">
        <v>16</v>
      </c>
      <c r="G82">
        <v>3</v>
      </c>
      <c r="H82" t="s">
        <v>230</v>
      </c>
      <c r="I82" t="s">
        <v>234</v>
      </c>
      <c r="J82">
        <v>4821</v>
      </c>
    </row>
    <row r="83" spans="1:10" x14ac:dyDescent="0.3">
      <c r="A83">
        <v>82</v>
      </c>
      <c r="B83" t="s">
        <v>95</v>
      </c>
      <c r="C83" t="s">
        <v>24</v>
      </c>
      <c r="D83" t="s">
        <v>10</v>
      </c>
      <c r="E83" t="s">
        <v>28</v>
      </c>
      <c r="F83" t="s">
        <v>12</v>
      </c>
      <c r="G83">
        <v>2</v>
      </c>
      <c r="H83" t="s">
        <v>231</v>
      </c>
      <c r="I83" t="s">
        <v>233</v>
      </c>
      <c r="J83">
        <v>7216</v>
      </c>
    </row>
    <row r="84" spans="1:10" x14ac:dyDescent="0.3">
      <c r="A84">
        <v>83</v>
      </c>
      <c r="B84" t="s">
        <v>33</v>
      </c>
      <c r="C84" t="s">
        <v>30</v>
      </c>
      <c r="D84" t="s">
        <v>15</v>
      </c>
      <c r="E84" t="s">
        <v>11</v>
      </c>
      <c r="F84" t="s">
        <v>12</v>
      </c>
      <c r="G84">
        <v>1</v>
      </c>
      <c r="H84" t="s">
        <v>231</v>
      </c>
      <c r="I84" t="s">
        <v>238</v>
      </c>
      <c r="J84">
        <v>1635</v>
      </c>
    </row>
    <row r="85" spans="1:10" x14ac:dyDescent="0.3">
      <c r="A85">
        <v>84</v>
      </c>
      <c r="B85" t="s">
        <v>96</v>
      </c>
      <c r="C85" t="s">
        <v>21</v>
      </c>
      <c r="D85" t="s">
        <v>10</v>
      </c>
      <c r="E85" t="s">
        <v>11</v>
      </c>
      <c r="F85" t="s">
        <v>16</v>
      </c>
      <c r="G85">
        <v>3</v>
      </c>
      <c r="H85" t="s">
        <v>230</v>
      </c>
      <c r="I85" t="s">
        <v>237</v>
      </c>
      <c r="J85">
        <v>10254</v>
      </c>
    </row>
    <row r="86" spans="1:10" x14ac:dyDescent="0.3">
      <c r="A86">
        <v>85</v>
      </c>
      <c r="B86" t="s">
        <v>97</v>
      </c>
      <c r="C86" t="s">
        <v>30</v>
      </c>
      <c r="D86" t="s">
        <v>15</v>
      </c>
      <c r="E86" t="s">
        <v>22</v>
      </c>
      <c r="F86" t="s">
        <v>12</v>
      </c>
      <c r="G86">
        <v>4</v>
      </c>
      <c r="H86" t="s">
        <v>230</v>
      </c>
      <c r="I86" t="s">
        <v>238</v>
      </c>
      <c r="J86">
        <v>8768</v>
      </c>
    </row>
    <row r="87" spans="1:10" x14ac:dyDescent="0.3">
      <c r="A87">
        <v>86</v>
      </c>
      <c r="B87" t="s">
        <v>98</v>
      </c>
      <c r="C87" t="s">
        <v>18</v>
      </c>
      <c r="D87" t="s">
        <v>19</v>
      </c>
      <c r="E87" t="s">
        <v>28</v>
      </c>
      <c r="F87" t="s">
        <v>12</v>
      </c>
      <c r="G87">
        <v>4</v>
      </c>
      <c r="H87" t="s">
        <v>230</v>
      </c>
      <c r="I87" t="s">
        <v>243</v>
      </c>
      <c r="J87">
        <v>8948</v>
      </c>
    </row>
    <row r="88" spans="1:10" x14ac:dyDescent="0.3">
      <c r="A88">
        <v>87</v>
      </c>
      <c r="B88" t="s">
        <v>99</v>
      </c>
      <c r="C88" t="s">
        <v>18</v>
      </c>
      <c r="D88" t="s">
        <v>19</v>
      </c>
      <c r="E88" t="s">
        <v>11</v>
      </c>
      <c r="F88" t="s">
        <v>16</v>
      </c>
      <c r="G88">
        <v>1</v>
      </c>
      <c r="H88" t="s">
        <v>230</v>
      </c>
      <c r="I88" t="s">
        <v>242</v>
      </c>
      <c r="J88">
        <v>4225</v>
      </c>
    </row>
    <row r="89" spans="1:10" x14ac:dyDescent="0.3">
      <c r="A89">
        <v>88</v>
      </c>
      <c r="B89" t="s">
        <v>100</v>
      </c>
      <c r="C89" t="s">
        <v>39</v>
      </c>
      <c r="D89" t="s">
        <v>19</v>
      </c>
      <c r="E89" t="s">
        <v>28</v>
      </c>
      <c r="F89" t="s">
        <v>12</v>
      </c>
      <c r="G89">
        <v>1</v>
      </c>
      <c r="H89" t="s">
        <v>230</v>
      </c>
      <c r="I89" t="s">
        <v>240</v>
      </c>
      <c r="J89">
        <v>4915</v>
      </c>
    </row>
    <row r="90" spans="1:10" x14ac:dyDescent="0.3">
      <c r="A90">
        <v>89</v>
      </c>
      <c r="B90" t="s">
        <v>101</v>
      </c>
      <c r="C90" t="s">
        <v>9</v>
      </c>
      <c r="D90" t="s">
        <v>10</v>
      </c>
      <c r="E90" t="s">
        <v>22</v>
      </c>
      <c r="F90" t="s">
        <v>12</v>
      </c>
      <c r="G90">
        <v>3</v>
      </c>
      <c r="H90" t="s">
        <v>230</v>
      </c>
      <c r="I90" t="s">
        <v>243</v>
      </c>
      <c r="J90">
        <v>2823</v>
      </c>
    </row>
    <row r="91" spans="1:10" x14ac:dyDescent="0.3">
      <c r="A91">
        <v>90</v>
      </c>
      <c r="B91" t="s">
        <v>102</v>
      </c>
      <c r="C91" t="s">
        <v>39</v>
      </c>
      <c r="D91" t="s">
        <v>19</v>
      </c>
      <c r="E91" t="s">
        <v>22</v>
      </c>
      <c r="F91" t="s">
        <v>16</v>
      </c>
      <c r="G91">
        <v>5</v>
      </c>
      <c r="H91" t="s">
        <v>230</v>
      </c>
      <c r="I91" t="s">
        <v>239</v>
      </c>
      <c r="J91">
        <v>17835</v>
      </c>
    </row>
    <row r="92" spans="1:10" x14ac:dyDescent="0.3">
      <c r="A92">
        <v>91</v>
      </c>
      <c r="B92" t="s">
        <v>103</v>
      </c>
      <c r="C92" t="s">
        <v>18</v>
      </c>
      <c r="D92" t="s">
        <v>19</v>
      </c>
      <c r="E92" t="s">
        <v>11</v>
      </c>
      <c r="F92" t="s">
        <v>16</v>
      </c>
      <c r="G92">
        <v>2</v>
      </c>
      <c r="H92" t="s">
        <v>231</v>
      </c>
      <c r="I92" t="s">
        <v>234</v>
      </c>
      <c r="J92">
        <v>7274</v>
      </c>
    </row>
    <row r="93" spans="1:10" x14ac:dyDescent="0.3">
      <c r="A93">
        <v>92</v>
      </c>
      <c r="B93" t="s">
        <v>104</v>
      </c>
      <c r="C93" t="s">
        <v>21</v>
      </c>
      <c r="D93" t="s">
        <v>10</v>
      </c>
      <c r="E93" t="s">
        <v>31</v>
      </c>
      <c r="F93" t="s">
        <v>16</v>
      </c>
      <c r="G93">
        <v>5</v>
      </c>
      <c r="H93" t="s">
        <v>231</v>
      </c>
      <c r="I93" t="s">
        <v>234</v>
      </c>
      <c r="J93">
        <v>14020</v>
      </c>
    </row>
    <row r="94" spans="1:10" x14ac:dyDescent="0.3">
      <c r="A94">
        <v>93</v>
      </c>
      <c r="B94" t="s">
        <v>105</v>
      </c>
      <c r="C94" t="s">
        <v>18</v>
      </c>
      <c r="D94" t="s">
        <v>19</v>
      </c>
      <c r="E94" t="s">
        <v>11</v>
      </c>
      <c r="F94" t="s">
        <v>12</v>
      </c>
      <c r="G94">
        <v>5</v>
      </c>
      <c r="H94" t="s">
        <v>231</v>
      </c>
      <c r="I94" t="s">
        <v>243</v>
      </c>
      <c r="J94">
        <v>20115</v>
      </c>
    </row>
    <row r="95" spans="1:10" x14ac:dyDescent="0.3">
      <c r="A95">
        <v>94</v>
      </c>
      <c r="B95" t="s">
        <v>106</v>
      </c>
      <c r="C95" t="s">
        <v>14</v>
      </c>
      <c r="D95" t="s">
        <v>15</v>
      </c>
      <c r="E95" t="s">
        <v>11</v>
      </c>
      <c r="F95" t="s">
        <v>16</v>
      </c>
      <c r="G95">
        <v>4</v>
      </c>
      <c r="H95" t="s">
        <v>230</v>
      </c>
      <c r="I95" t="s">
        <v>233</v>
      </c>
      <c r="J95">
        <v>18804</v>
      </c>
    </row>
    <row r="96" spans="1:10" x14ac:dyDescent="0.3">
      <c r="A96">
        <v>95</v>
      </c>
      <c r="B96" t="s">
        <v>107</v>
      </c>
      <c r="C96" t="s">
        <v>39</v>
      </c>
      <c r="D96" t="s">
        <v>19</v>
      </c>
      <c r="E96" t="s">
        <v>22</v>
      </c>
      <c r="F96" t="s">
        <v>16</v>
      </c>
      <c r="G96">
        <v>5</v>
      </c>
      <c r="H96" t="s">
        <v>230</v>
      </c>
      <c r="I96" t="s">
        <v>243</v>
      </c>
      <c r="J96">
        <v>6930</v>
      </c>
    </row>
    <row r="97" spans="1:10" x14ac:dyDescent="0.3">
      <c r="A97">
        <v>96</v>
      </c>
      <c r="B97" t="s">
        <v>108</v>
      </c>
      <c r="C97" t="s">
        <v>30</v>
      </c>
      <c r="D97" t="s">
        <v>15</v>
      </c>
      <c r="E97" t="s">
        <v>11</v>
      </c>
      <c r="F97" t="s">
        <v>16</v>
      </c>
      <c r="G97">
        <v>3</v>
      </c>
      <c r="H97" t="s">
        <v>230</v>
      </c>
      <c r="I97" t="s">
        <v>238</v>
      </c>
      <c r="J97">
        <v>13278</v>
      </c>
    </row>
    <row r="98" spans="1:10" x14ac:dyDescent="0.3">
      <c r="A98">
        <v>97</v>
      </c>
      <c r="B98" t="s">
        <v>109</v>
      </c>
      <c r="C98" t="s">
        <v>9</v>
      </c>
      <c r="D98" t="s">
        <v>10</v>
      </c>
      <c r="E98" t="s">
        <v>22</v>
      </c>
      <c r="F98" t="s">
        <v>16</v>
      </c>
      <c r="G98">
        <v>1</v>
      </c>
      <c r="H98" t="s">
        <v>230</v>
      </c>
      <c r="I98" t="s">
        <v>236</v>
      </c>
      <c r="J98">
        <v>4052</v>
      </c>
    </row>
    <row r="99" spans="1:10" x14ac:dyDescent="0.3">
      <c r="A99">
        <v>98</v>
      </c>
      <c r="B99" t="s">
        <v>106</v>
      </c>
      <c r="C99" t="s">
        <v>9</v>
      </c>
      <c r="D99" t="s">
        <v>10</v>
      </c>
      <c r="E99" t="s">
        <v>28</v>
      </c>
      <c r="F99" t="s">
        <v>16</v>
      </c>
      <c r="G99">
        <v>2</v>
      </c>
      <c r="H99" t="s">
        <v>230</v>
      </c>
      <c r="I99" t="s">
        <v>233</v>
      </c>
      <c r="J99">
        <v>8762</v>
      </c>
    </row>
    <row r="100" spans="1:10" x14ac:dyDescent="0.3">
      <c r="A100">
        <v>99</v>
      </c>
      <c r="B100" t="s">
        <v>106</v>
      </c>
      <c r="C100" t="s">
        <v>18</v>
      </c>
      <c r="D100" t="s">
        <v>19</v>
      </c>
      <c r="E100" t="s">
        <v>31</v>
      </c>
      <c r="F100" t="s">
        <v>16</v>
      </c>
      <c r="G100">
        <v>3</v>
      </c>
      <c r="H100" t="s">
        <v>230</v>
      </c>
      <c r="I100" t="s">
        <v>233</v>
      </c>
      <c r="J100">
        <v>7305</v>
      </c>
    </row>
    <row r="101" spans="1:10" x14ac:dyDescent="0.3">
      <c r="A101">
        <v>100</v>
      </c>
      <c r="B101" t="s">
        <v>110</v>
      </c>
      <c r="C101" t="s">
        <v>21</v>
      </c>
      <c r="D101" t="s">
        <v>10</v>
      </c>
      <c r="E101" t="s">
        <v>22</v>
      </c>
      <c r="F101" t="s">
        <v>12</v>
      </c>
      <c r="G101">
        <v>5</v>
      </c>
      <c r="H101" t="s">
        <v>230</v>
      </c>
      <c r="I101" t="s">
        <v>243</v>
      </c>
      <c r="J101">
        <v>11585</v>
      </c>
    </row>
    <row r="102" spans="1:10" x14ac:dyDescent="0.3">
      <c r="A102">
        <v>101</v>
      </c>
      <c r="B102" t="s">
        <v>111</v>
      </c>
      <c r="C102" t="s">
        <v>21</v>
      </c>
      <c r="D102" t="s">
        <v>10</v>
      </c>
      <c r="E102" t="s">
        <v>11</v>
      </c>
      <c r="F102" t="s">
        <v>12</v>
      </c>
      <c r="G102">
        <v>2</v>
      </c>
      <c r="H102" t="s">
        <v>231</v>
      </c>
      <c r="I102" t="s">
        <v>237</v>
      </c>
      <c r="J102">
        <v>4648</v>
      </c>
    </row>
    <row r="103" spans="1:10" x14ac:dyDescent="0.3">
      <c r="A103">
        <v>102</v>
      </c>
      <c r="B103" t="s">
        <v>112</v>
      </c>
      <c r="C103" t="s">
        <v>39</v>
      </c>
      <c r="D103" t="s">
        <v>19</v>
      </c>
      <c r="E103" t="s">
        <v>28</v>
      </c>
      <c r="F103" t="s">
        <v>12</v>
      </c>
      <c r="G103">
        <v>5</v>
      </c>
      <c r="H103" t="s">
        <v>230</v>
      </c>
      <c r="I103" t="s">
        <v>241</v>
      </c>
      <c r="J103">
        <v>15460</v>
      </c>
    </row>
    <row r="104" spans="1:10" x14ac:dyDescent="0.3">
      <c r="A104">
        <v>103</v>
      </c>
      <c r="B104" t="s">
        <v>83</v>
      </c>
      <c r="C104" t="s">
        <v>30</v>
      </c>
      <c r="D104" t="s">
        <v>15</v>
      </c>
      <c r="E104" t="s">
        <v>11</v>
      </c>
      <c r="F104" t="s">
        <v>12</v>
      </c>
      <c r="G104">
        <v>5</v>
      </c>
      <c r="H104" t="s">
        <v>230</v>
      </c>
      <c r="I104" t="s">
        <v>233</v>
      </c>
      <c r="J104">
        <v>19235</v>
      </c>
    </row>
    <row r="105" spans="1:10" x14ac:dyDescent="0.3">
      <c r="A105">
        <v>104</v>
      </c>
      <c r="B105" t="s">
        <v>113</v>
      </c>
      <c r="C105" t="s">
        <v>18</v>
      </c>
      <c r="D105" t="s">
        <v>19</v>
      </c>
      <c r="E105" t="s">
        <v>11</v>
      </c>
      <c r="F105" t="s">
        <v>12</v>
      </c>
      <c r="G105">
        <v>5</v>
      </c>
      <c r="H105" t="s">
        <v>230</v>
      </c>
      <c r="I105" t="s">
        <v>241</v>
      </c>
      <c r="J105">
        <v>22100</v>
      </c>
    </row>
    <row r="106" spans="1:10" x14ac:dyDescent="0.3">
      <c r="A106">
        <v>105</v>
      </c>
      <c r="B106" t="s">
        <v>114</v>
      </c>
      <c r="C106" t="s">
        <v>14</v>
      </c>
      <c r="D106" t="s">
        <v>15</v>
      </c>
      <c r="E106" t="s">
        <v>31</v>
      </c>
      <c r="F106" t="s">
        <v>16</v>
      </c>
      <c r="G106">
        <v>3</v>
      </c>
      <c r="H106" t="s">
        <v>230</v>
      </c>
      <c r="I106" t="s">
        <v>242</v>
      </c>
      <c r="J106">
        <v>14724</v>
      </c>
    </row>
    <row r="107" spans="1:10" x14ac:dyDescent="0.3">
      <c r="A107">
        <v>106</v>
      </c>
      <c r="B107" t="s">
        <v>55</v>
      </c>
      <c r="C107" t="s">
        <v>14</v>
      </c>
      <c r="D107" t="s">
        <v>15</v>
      </c>
      <c r="E107" t="s">
        <v>11</v>
      </c>
      <c r="F107" t="s">
        <v>12</v>
      </c>
      <c r="G107">
        <v>4</v>
      </c>
      <c r="H107" t="s">
        <v>231</v>
      </c>
      <c r="I107" t="s">
        <v>243</v>
      </c>
      <c r="J107">
        <v>8276</v>
      </c>
    </row>
    <row r="108" spans="1:10" x14ac:dyDescent="0.3">
      <c r="A108">
        <v>107</v>
      </c>
      <c r="B108" t="s">
        <v>115</v>
      </c>
      <c r="C108" t="s">
        <v>21</v>
      </c>
      <c r="D108" t="s">
        <v>10</v>
      </c>
      <c r="E108" t="s">
        <v>11</v>
      </c>
      <c r="F108" t="s">
        <v>16</v>
      </c>
      <c r="G108">
        <v>5</v>
      </c>
      <c r="H108" t="s">
        <v>231</v>
      </c>
      <c r="I108" t="s">
        <v>240</v>
      </c>
      <c r="J108">
        <v>17270</v>
      </c>
    </row>
    <row r="109" spans="1:10" x14ac:dyDescent="0.3">
      <c r="A109">
        <v>108</v>
      </c>
      <c r="B109" t="s">
        <v>116</v>
      </c>
      <c r="C109" t="s">
        <v>24</v>
      </c>
      <c r="D109" t="s">
        <v>10</v>
      </c>
      <c r="E109" t="s">
        <v>22</v>
      </c>
      <c r="F109" t="s">
        <v>12</v>
      </c>
      <c r="G109">
        <v>5</v>
      </c>
      <c r="H109" t="s">
        <v>231</v>
      </c>
      <c r="I109" t="s">
        <v>242</v>
      </c>
      <c r="J109">
        <v>22435</v>
      </c>
    </row>
    <row r="110" spans="1:10" x14ac:dyDescent="0.3">
      <c r="A110">
        <v>109</v>
      </c>
      <c r="B110" t="s">
        <v>117</v>
      </c>
      <c r="C110" t="s">
        <v>39</v>
      </c>
      <c r="D110" t="s">
        <v>19</v>
      </c>
      <c r="E110" t="s">
        <v>22</v>
      </c>
      <c r="F110" t="s">
        <v>12</v>
      </c>
      <c r="G110">
        <v>5</v>
      </c>
      <c r="H110" t="s">
        <v>230</v>
      </c>
      <c r="I110" t="s">
        <v>236</v>
      </c>
      <c r="J110">
        <v>6395</v>
      </c>
    </row>
    <row r="111" spans="1:10" x14ac:dyDescent="0.3">
      <c r="A111">
        <v>110</v>
      </c>
      <c r="B111" t="s">
        <v>41</v>
      </c>
      <c r="C111" t="s">
        <v>14</v>
      </c>
      <c r="D111" t="s">
        <v>15</v>
      </c>
      <c r="E111" t="s">
        <v>28</v>
      </c>
      <c r="F111" t="s">
        <v>16</v>
      </c>
      <c r="G111">
        <v>4</v>
      </c>
      <c r="H111" t="s">
        <v>231</v>
      </c>
      <c r="I111" t="s">
        <v>239</v>
      </c>
      <c r="J111">
        <v>3508</v>
      </c>
    </row>
    <row r="112" spans="1:10" x14ac:dyDescent="0.3">
      <c r="A112">
        <v>111</v>
      </c>
      <c r="B112" t="s">
        <v>118</v>
      </c>
      <c r="C112" t="s">
        <v>18</v>
      </c>
      <c r="D112" t="s">
        <v>19</v>
      </c>
      <c r="E112" t="s">
        <v>31</v>
      </c>
      <c r="F112" t="s">
        <v>16</v>
      </c>
      <c r="G112">
        <v>1</v>
      </c>
      <c r="H112" t="s">
        <v>231</v>
      </c>
      <c r="I112" t="s">
        <v>240</v>
      </c>
      <c r="J112">
        <v>1481</v>
      </c>
    </row>
    <row r="113" spans="1:10" x14ac:dyDescent="0.3">
      <c r="A113">
        <v>112</v>
      </c>
      <c r="B113" t="s">
        <v>119</v>
      </c>
      <c r="C113" t="s">
        <v>18</v>
      </c>
      <c r="D113" t="s">
        <v>19</v>
      </c>
      <c r="E113" t="s">
        <v>22</v>
      </c>
      <c r="F113" t="s">
        <v>16</v>
      </c>
      <c r="G113">
        <v>3</v>
      </c>
      <c r="H113" t="s">
        <v>231</v>
      </c>
      <c r="I113" t="s">
        <v>232</v>
      </c>
      <c r="J113">
        <v>2505</v>
      </c>
    </row>
    <row r="114" spans="1:10" x14ac:dyDescent="0.3">
      <c r="A114">
        <v>113</v>
      </c>
      <c r="B114" t="s">
        <v>120</v>
      </c>
      <c r="C114" t="s">
        <v>21</v>
      </c>
      <c r="D114" t="s">
        <v>10</v>
      </c>
      <c r="E114" t="s">
        <v>22</v>
      </c>
      <c r="F114" t="s">
        <v>12</v>
      </c>
      <c r="G114">
        <v>2</v>
      </c>
      <c r="H114" t="s">
        <v>231</v>
      </c>
      <c r="I114" t="s">
        <v>235</v>
      </c>
      <c r="J114">
        <v>7220</v>
      </c>
    </row>
    <row r="115" spans="1:10" x14ac:dyDescent="0.3">
      <c r="A115">
        <v>114</v>
      </c>
      <c r="B115" t="s">
        <v>121</v>
      </c>
      <c r="C115" t="s">
        <v>9</v>
      </c>
      <c r="D115" t="s">
        <v>10</v>
      </c>
      <c r="E115" t="s">
        <v>11</v>
      </c>
      <c r="F115" t="s">
        <v>12</v>
      </c>
      <c r="G115">
        <v>2</v>
      </c>
      <c r="H115" t="s">
        <v>230</v>
      </c>
      <c r="I115" t="s">
        <v>239</v>
      </c>
      <c r="J115">
        <v>9212</v>
      </c>
    </row>
    <row r="116" spans="1:10" x14ac:dyDescent="0.3">
      <c r="A116">
        <v>115</v>
      </c>
      <c r="B116" t="s">
        <v>122</v>
      </c>
      <c r="C116" t="s">
        <v>18</v>
      </c>
      <c r="D116" t="s">
        <v>19</v>
      </c>
      <c r="E116" t="s">
        <v>22</v>
      </c>
      <c r="F116" t="s">
        <v>12</v>
      </c>
      <c r="G116">
        <v>1</v>
      </c>
      <c r="H116" t="s">
        <v>230</v>
      </c>
      <c r="I116" t="s">
        <v>233</v>
      </c>
      <c r="J116">
        <v>3859</v>
      </c>
    </row>
    <row r="117" spans="1:10" x14ac:dyDescent="0.3">
      <c r="A117">
        <v>116</v>
      </c>
      <c r="B117" t="s">
        <v>123</v>
      </c>
      <c r="C117" t="s">
        <v>14</v>
      </c>
      <c r="D117" t="s">
        <v>15</v>
      </c>
      <c r="E117" t="s">
        <v>28</v>
      </c>
      <c r="F117" t="s">
        <v>16</v>
      </c>
      <c r="G117">
        <v>5</v>
      </c>
      <c r="H117" t="s">
        <v>230</v>
      </c>
      <c r="I117" t="s">
        <v>234</v>
      </c>
      <c r="J117">
        <v>9645</v>
      </c>
    </row>
    <row r="118" spans="1:10" x14ac:dyDescent="0.3">
      <c r="A118">
        <v>117</v>
      </c>
      <c r="B118" t="s">
        <v>124</v>
      </c>
      <c r="C118" t="s">
        <v>9</v>
      </c>
      <c r="D118" t="s">
        <v>10</v>
      </c>
      <c r="E118" t="s">
        <v>11</v>
      </c>
      <c r="F118" t="s">
        <v>12</v>
      </c>
      <c r="G118">
        <v>4</v>
      </c>
      <c r="H118" t="s">
        <v>230</v>
      </c>
      <c r="I118" t="s">
        <v>238</v>
      </c>
      <c r="J118">
        <v>8388</v>
      </c>
    </row>
    <row r="119" spans="1:10" x14ac:dyDescent="0.3">
      <c r="A119">
        <v>118</v>
      </c>
      <c r="B119" t="s">
        <v>125</v>
      </c>
      <c r="C119" t="s">
        <v>14</v>
      </c>
      <c r="D119" t="s">
        <v>15</v>
      </c>
      <c r="E119" t="s">
        <v>31</v>
      </c>
      <c r="F119" t="s">
        <v>12</v>
      </c>
      <c r="G119">
        <v>3</v>
      </c>
      <c r="H119" t="s">
        <v>231</v>
      </c>
      <c r="I119" t="s">
        <v>239</v>
      </c>
      <c r="J119">
        <v>4995</v>
      </c>
    </row>
    <row r="120" spans="1:10" x14ac:dyDescent="0.3">
      <c r="A120">
        <v>119</v>
      </c>
      <c r="B120" t="s">
        <v>126</v>
      </c>
      <c r="C120" t="s">
        <v>21</v>
      </c>
      <c r="D120" t="s">
        <v>10</v>
      </c>
      <c r="E120" t="s">
        <v>28</v>
      </c>
      <c r="F120" t="s">
        <v>12</v>
      </c>
      <c r="G120">
        <v>5</v>
      </c>
      <c r="H120" t="s">
        <v>231</v>
      </c>
      <c r="I120" t="s">
        <v>239</v>
      </c>
      <c r="J120">
        <v>12990</v>
      </c>
    </row>
    <row r="121" spans="1:10" x14ac:dyDescent="0.3">
      <c r="A121">
        <v>120</v>
      </c>
      <c r="B121" t="s">
        <v>127</v>
      </c>
      <c r="C121" t="s">
        <v>30</v>
      </c>
      <c r="D121" t="s">
        <v>15</v>
      </c>
      <c r="E121" t="s">
        <v>11</v>
      </c>
      <c r="F121" t="s">
        <v>12</v>
      </c>
      <c r="G121">
        <v>3</v>
      </c>
      <c r="H121" t="s">
        <v>231</v>
      </c>
      <c r="I121" t="s">
        <v>235</v>
      </c>
      <c r="J121">
        <v>6159</v>
      </c>
    </row>
    <row r="122" spans="1:10" x14ac:dyDescent="0.3">
      <c r="A122">
        <v>121</v>
      </c>
      <c r="B122" t="s">
        <v>128</v>
      </c>
      <c r="C122" t="s">
        <v>30</v>
      </c>
      <c r="D122" t="s">
        <v>15</v>
      </c>
      <c r="E122" t="s">
        <v>28</v>
      </c>
      <c r="F122" t="s">
        <v>12</v>
      </c>
      <c r="G122">
        <v>2</v>
      </c>
      <c r="H122" t="s">
        <v>230</v>
      </c>
      <c r="I122" t="s">
        <v>243</v>
      </c>
      <c r="J122">
        <v>3660</v>
      </c>
    </row>
    <row r="123" spans="1:10" x14ac:dyDescent="0.3">
      <c r="A123">
        <v>122</v>
      </c>
      <c r="B123" t="s">
        <v>129</v>
      </c>
      <c r="C123" t="s">
        <v>18</v>
      </c>
      <c r="D123" t="s">
        <v>19</v>
      </c>
      <c r="E123" t="s">
        <v>31</v>
      </c>
      <c r="F123" t="s">
        <v>16</v>
      </c>
      <c r="G123">
        <v>2</v>
      </c>
      <c r="H123" t="s">
        <v>230</v>
      </c>
      <c r="I123" t="s">
        <v>235</v>
      </c>
      <c r="J123">
        <v>8526</v>
      </c>
    </row>
    <row r="124" spans="1:10" x14ac:dyDescent="0.3">
      <c r="A124">
        <v>123</v>
      </c>
      <c r="B124" t="s">
        <v>130</v>
      </c>
      <c r="C124" t="s">
        <v>24</v>
      </c>
      <c r="D124" t="s">
        <v>10</v>
      </c>
      <c r="E124" t="s">
        <v>22</v>
      </c>
      <c r="F124" t="s">
        <v>12</v>
      </c>
      <c r="G124">
        <v>3</v>
      </c>
      <c r="H124" t="s">
        <v>230</v>
      </c>
      <c r="I124" t="s">
        <v>240</v>
      </c>
      <c r="J124">
        <v>2292</v>
      </c>
    </row>
    <row r="125" spans="1:10" x14ac:dyDescent="0.3">
      <c r="A125">
        <v>124</v>
      </c>
      <c r="B125" t="s">
        <v>127</v>
      </c>
      <c r="C125" t="s">
        <v>14</v>
      </c>
      <c r="D125" t="s">
        <v>15</v>
      </c>
      <c r="E125" t="s">
        <v>28</v>
      </c>
      <c r="F125" t="s">
        <v>12</v>
      </c>
      <c r="G125">
        <v>3</v>
      </c>
      <c r="H125" t="s">
        <v>231</v>
      </c>
      <c r="I125" t="s">
        <v>235</v>
      </c>
      <c r="J125">
        <v>11691</v>
      </c>
    </row>
    <row r="126" spans="1:10" x14ac:dyDescent="0.3">
      <c r="A126">
        <v>125</v>
      </c>
      <c r="B126" t="s">
        <v>131</v>
      </c>
      <c r="C126" t="s">
        <v>9</v>
      </c>
      <c r="D126" t="s">
        <v>10</v>
      </c>
      <c r="E126" t="s">
        <v>22</v>
      </c>
      <c r="F126" t="s">
        <v>12</v>
      </c>
      <c r="G126">
        <v>3</v>
      </c>
      <c r="H126" t="s">
        <v>230</v>
      </c>
      <c r="I126" t="s">
        <v>242</v>
      </c>
      <c r="J126">
        <v>4539</v>
      </c>
    </row>
    <row r="127" spans="1:10" x14ac:dyDescent="0.3">
      <c r="A127">
        <v>126</v>
      </c>
      <c r="B127" t="s">
        <v>132</v>
      </c>
      <c r="C127" t="s">
        <v>18</v>
      </c>
      <c r="D127" t="s">
        <v>19</v>
      </c>
      <c r="E127" t="s">
        <v>28</v>
      </c>
      <c r="F127" t="s">
        <v>12</v>
      </c>
      <c r="G127">
        <v>2</v>
      </c>
      <c r="H127" t="s">
        <v>230</v>
      </c>
      <c r="I127" t="s">
        <v>233</v>
      </c>
      <c r="J127">
        <v>5638</v>
      </c>
    </row>
    <row r="128" spans="1:10" x14ac:dyDescent="0.3">
      <c r="A128">
        <v>127</v>
      </c>
      <c r="B128" t="s">
        <v>133</v>
      </c>
      <c r="C128" t="s">
        <v>9</v>
      </c>
      <c r="D128" t="s">
        <v>10</v>
      </c>
      <c r="E128" t="s">
        <v>11</v>
      </c>
      <c r="F128" t="s">
        <v>16</v>
      </c>
      <c r="G128">
        <v>5</v>
      </c>
      <c r="H128" t="s">
        <v>230</v>
      </c>
      <c r="I128" t="s">
        <v>237</v>
      </c>
      <c r="J128">
        <v>8490</v>
      </c>
    </row>
    <row r="129" spans="1:10" x14ac:dyDescent="0.3">
      <c r="A129">
        <v>128</v>
      </c>
      <c r="B129" t="s">
        <v>134</v>
      </c>
      <c r="C129" t="s">
        <v>18</v>
      </c>
      <c r="D129" t="s">
        <v>19</v>
      </c>
      <c r="E129" t="s">
        <v>31</v>
      </c>
      <c r="F129" t="s">
        <v>12</v>
      </c>
      <c r="G129">
        <v>2</v>
      </c>
      <c r="H129" t="s">
        <v>230</v>
      </c>
      <c r="I129" t="s">
        <v>241</v>
      </c>
      <c r="J129">
        <v>1452</v>
      </c>
    </row>
    <row r="130" spans="1:10" x14ac:dyDescent="0.3">
      <c r="A130">
        <v>129</v>
      </c>
      <c r="B130" t="s">
        <v>135</v>
      </c>
      <c r="C130" t="s">
        <v>14</v>
      </c>
      <c r="D130" t="s">
        <v>15</v>
      </c>
      <c r="E130" t="s">
        <v>28</v>
      </c>
      <c r="F130" t="s">
        <v>12</v>
      </c>
      <c r="G130">
        <v>1</v>
      </c>
      <c r="H130" t="s">
        <v>230</v>
      </c>
      <c r="I130" t="s">
        <v>232</v>
      </c>
      <c r="J130">
        <v>2848</v>
      </c>
    </row>
    <row r="131" spans="1:10" x14ac:dyDescent="0.3">
      <c r="A131">
        <v>130</v>
      </c>
      <c r="B131" t="s">
        <v>97</v>
      </c>
      <c r="C131" t="s">
        <v>21</v>
      </c>
      <c r="D131" t="s">
        <v>10</v>
      </c>
      <c r="E131" t="s">
        <v>11</v>
      </c>
      <c r="F131" t="s">
        <v>12</v>
      </c>
      <c r="G131">
        <v>5</v>
      </c>
      <c r="H131" t="s">
        <v>230</v>
      </c>
      <c r="I131" t="s">
        <v>238</v>
      </c>
      <c r="J131">
        <v>10130</v>
      </c>
    </row>
    <row r="132" spans="1:10" x14ac:dyDescent="0.3">
      <c r="A132">
        <v>131</v>
      </c>
      <c r="B132" t="s">
        <v>83</v>
      </c>
      <c r="C132" t="s">
        <v>21</v>
      </c>
      <c r="D132" t="s">
        <v>10</v>
      </c>
      <c r="E132" t="s">
        <v>11</v>
      </c>
      <c r="F132" t="s">
        <v>12</v>
      </c>
      <c r="G132">
        <v>5</v>
      </c>
      <c r="H132" t="s">
        <v>230</v>
      </c>
      <c r="I132" t="s">
        <v>233</v>
      </c>
      <c r="J132">
        <v>4300</v>
      </c>
    </row>
    <row r="133" spans="1:10" x14ac:dyDescent="0.3">
      <c r="A133">
        <v>132</v>
      </c>
      <c r="B133" t="s">
        <v>136</v>
      </c>
      <c r="C133" t="s">
        <v>9</v>
      </c>
      <c r="D133" t="s">
        <v>10</v>
      </c>
      <c r="E133" t="s">
        <v>31</v>
      </c>
      <c r="F133" t="s">
        <v>12</v>
      </c>
      <c r="G133">
        <v>3</v>
      </c>
      <c r="H133" t="s">
        <v>230</v>
      </c>
      <c r="I133" t="s">
        <v>243</v>
      </c>
      <c r="J133">
        <v>10224</v>
      </c>
    </row>
    <row r="134" spans="1:10" x14ac:dyDescent="0.3">
      <c r="A134">
        <v>133</v>
      </c>
      <c r="B134" t="s">
        <v>47</v>
      </c>
      <c r="C134" t="s">
        <v>21</v>
      </c>
      <c r="D134" t="s">
        <v>10</v>
      </c>
      <c r="E134" t="s">
        <v>31</v>
      </c>
      <c r="F134" t="s">
        <v>16</v>
      </c>
      <c r="G134">
        <v>1</v>
      </c>
      <c r="H134" t="s">
        <v>230</v>
      </c>
      <c r="I134" t="s">
        <v>241</v>
      </c>
      <c r="J134">
        <v>1341</v>
      </c>
    </row>
    <row r="135" spans="1:10" x14ac:dyDescent="0.3">
      <c r="A135">
        <v>134</v>
      </c>
      <c r="B135" t="s">
        <v>90</v>
      </c>
      <c r="C135" t="s">
        <v>9</v>
      </c>
      <c r="D135" t="s">
        <v>10</v>
      </c>
      <c r="E135" t="s">
        <v>31</v>
      </c>
      <c r="F135" t="s">
        <v>12</v>
      </c>
      <c r="G135">
        <v>2</v>
      </c>
      <c r="H135" t="s">
        <v>231</v>
      </c>
      <c r="I135" t="s">
        <v>237</v>
      </c>
      <c r="J135">
        <v>6180</v>
      </c>
    </row>
    <row r="136" spans="1:10" x14ac:dyDescent="0.3">
      <c r="A136">
        <v>135</v>
      </c>
      <c r="B136" t="s">
        <v>137</v>
      </c>
      <c r="C136" t="s">
        <v>9</v>
      </c>
      <c r="D136" t="s">
        <v>10</v>
      </c>
      <c r="E136" t="s">
        <v>22</v>
      </c>
      <c r="F136" t="s">
        <v>12</v>
      </c>
      <c r="G136">
        <v>2</v>
      </c>
      <c r="H136" t="s">
        <v>230</v>
      </c>
      <c r="I136" t="s">
        <v>242</v>
      </c>
      <c r="J136">
        <v>2324</v>
      </c>
    </row>
    <row r="137" spans="1:10" x14ac:dyDescent="0.3">
      <c r="A137">
        <v>136</v>
      </c>
      <c r="B137" t="s">
        <v>29</v>
      </c>
      <c r="C137" t="s">
        <v>18</v>
      </c>
      <c r="D137" t="s">
        <v>19</v>
      </c>
      <c r="E137" t="s">
        <v>11</v>
      </c>
      <c r="F137" t="s">
        <v>16</v>
      </c>
      <c r="G137">
        <v>4</v>
      </c>
      <c r="H137" t="s">
        <v>230</v>
      </c>
      <c r="I137" t="s">
        <v>237</v>
      </c>
      <c r="J137">
        <v>14196</v>
      </c>
    </row>
    <row r="138" spans="1:10" x14ac:dyDescent="0.3">
      <c r="A138">
        <v>137</v>
      </c>
      <c r="B138" t="s">
        <v>138</v>
      </c>
      <c r="C138" t="s">
        <v>24</v>
      </c>
      <c r="D138" t="s">
        <v>10</v>
      </c>
      <c r="E138" t="s">
        <v>11</v>
      </c>
      <c r="F138" t="s">
        <v>16</v>
      </c>
      <c r="G138">
        <v>3</v>
      </c>
      <c r="H138" t="s">
        <v>230</v>
      </c>
      <c r="I138" t="s">
        <v>234</v>
      </c>
      <c r="J138">
        <v>12816</v>
      </c>
    </row>
    <row r="139" spans="1:10" x14ac:dyDescent="0.3">
      <c r="A139">
        <v>138</v>
      </c>
      <c r="B139" t="s">
        <v>139</v>
      </c>
      <c r="C139" t="s">
        <v>14</v>
      </c>
      <c r="D139" t="s">
        <v>15</v>
      </c>
      <c r="E139" t="s">
        <v>31</v>
      </c>
      <c r="F139" t="s">
        <v>12</v>
      </c>
      <c r="G139">
        <v>3</v>
      </c>
      <c r="H139" t="s">
        <v>230</v>
      </c>
      <c r="I139" t="s">
        <v>243</v>
      </c>
      <c r="J139">
        <v>10170</v>
      </c>
    </row>
    <row r="140" spans="1:10" x14ac:dyDescent="0.3">
      <c r="A140">
        <v>139</v>
      </c>
      <c r="B140" t="s">
        <v>140</v>
      </c>
      <c r="C140" t="s">
        <v>9</v>
      </c>
      <c r="D140" t="s">
        <v>10</v>
      </c>
      <c r="E140" t="s">
        <v>11</v>
      </c>
      <c r="F140" t="s">
        <v>16</v>
      </c>
      <c r="G140">
        <v>4</v>
      </c>
      <c r="H140" t="s">
        <v>230</v>
      </c>
      <c r="I140" t="s">
        <v>238</v>
      </c>
      <c r="J140">
        <v>16332</v>
      </c>
    </row>
    <row r="141" spans="1:10" x14ac:dyDescent="0.3">
      <c r="A141">
        <v>140</v>
      </c>
      <c r="B141" t="s">
        <v>141</v>
      </c>
      <c r="C141" t="s">
        <v>30</v>
      </c>
      <c r="D141" t="s">
        <v>15</v>
      </c>
      <c r="E141" t="s">
        <v>22</v>
      </c>
      <c r="F141" t="s">
        <v>16</v>
      </c>
      <c r="G141">
        <v>4</v>
      </c>
      <c r="H141" t="s">
        <v>230</v>
      </c>
      <c r="I141" t="s">
        <v>232</v>
      </c>
      <c r="J141">
        <v>15296</v>
      </c>
    </row>
    <row r="142" spans="1:10" x14ac:dyDescent="0.3">
      <c r="A142">
        <v>141</v>
      </c>
      <c r="B142" t="s">
        <v>142</v>
      </c>
      <c r="C142" t="s">
        <v>18</v>
      </c>
      <c r="D142" t="s">
        <v>19</v>
      </c>
      <c r="E142" t="s">
        <v>22</v>
      </c>
      <c r="F142" t="s">
        <v>12</v>
      </c>
      <c r="G142">
        <v>3</v>
      </c>
      <c r="H142" t="s">
        <v>230</v>
      </c>
      <c r="I142" t="s">
        <v>242</v>
      </c>
      <c r="J142">
        <v>7575</v>
      </c>
    </row>
    <row r="143" spans="1:10" x14ac:dyDescent="0.3">
      <c r="A143">
        <v>142</v>
      </c>
      <c r="B143" t="s">
        <v>143</v>
      </c>
      <c r="C143" t="s">
        <v>24</v>
      </c>
      <c r="D143" t="s">
        <v>10</v>
      </c>
      <c r="E143" t="s">
        <v>31</v>
      </c>
      <c r="F143" t="s">
        <v>12</v>
      </c>
      <c r="G143">
        <v>4</v>
      </c>
      <c r="H143" t="s">
        <v>231</v>
      </c>
      <c r="I143" t="s">
        <v>237</v>
      </c>
      <c r="J143">
        <v>4584</v>
      </c>
    </row>
    <row r="144" spans="1:10" x14ac:dyDescent="0.3">
      <c r="A144">
        <v>143</v>
      </c>
      <c r="B144" t="s">
        <v>144</v>
      </c>
      <c r="C144" t="s">
        <v>9</v>
      </c>
      <c r="D144" t="s">
        <v>10</v>
      </c>
      <c r="E144" t="s">
        <v>22</v>
      </c>
      <c r="F144" t="s">
        <v>12</v>
      </c>
      <c r="G144">
        <v>5</v>
      </c>
      <c r="H144" t="s">
        <v>230</v>
      </c>
      <c r="I144" t="s">
        <v>242</v>
      </c>
      <c r="J144">
        <v>6860</v>
      </c>
    </row>
    <row r="145" spans="1:10" x14ac:dyDescent="0.3">
      <c r="A145">
        <v>144</v>
      </c>
      <c r="B145" t="s">
        <v>145</v>
      </c>
      <c r="C145" t="s">
        <v>14</v>
      </c>
      <c r="D145" t="s">
        <v>15</v>
      </c>
      <c r="E145" t="s">
        <v>11</v>
      </c>
      <c r="F145" t="s">
        <v>12</v>
      </c>
      <c r="G145">
        <v>5</v>
      </c>
      <c r="H145" t="s">
        <v>230</v>
      </c>
      <c r="I145" t="s">
        <v>242</v>
      </c>
      <c r="J145">
        <v>21465</v>
      </c>
    </row>
    <row r="146" spans="1:10" x14ac:dyDescent="0.3">
      <c r="A146">
        <v>145</v>
      </c>
      <c r="B146" t="s">
        <v>146</v>
      </c>
      <c r="C146" t="s">
        <v>24</v>
      </c>
      <c r="D146" t="s">
        <v>10</v>
      </c>
      <c r="E146" t="s">
        <v>28</v>
      </c>
      <c r="F146" t="s">
        <v>12</v>
      </c>
      <c r="G146">
        <v>3</v>
      </c>
      <c r="H146" t="s">
        <v>230</v>
      </c>
      <c r="I146" t="s">
        <v>233</v>
      </c>
      <c r="J146">
        <v>13581</v>
      </c>
    </row>
    <row r="147" spans="1:10" x14ac:dyDescent="0.3">
      <c r="A147">
        <v>146</v>
      </c>
      <c r="B147" t="s">
        <v>147</v>
      </c>
      <c r="C147" t="s">
        <v>9</v>
      </c>
      <c r="D147" t="s">
        <v>10</v>
      </c>
      <c r="E147" t="s">
        <v>31</v>
      </c>
      <c r="F147" t="s">
        <v>12</v>
      </c>
      <c r="G147">
        <v>4</v>
      </c>
      <c r="H147" t="s">
        <v>231</v>
      </c>
      <c r="I147" t="s">
        <v>238</v>
      </c>
      <c r="J147">
        <v>16128</v>
      </c>
    </row>
    <row r="148" spans="1:10" x14ac:dyDescent="0.3">
      <c r="A148">
        <v>147</v>
      </c>
      <c r="B148" t="s">
        <v>44</v>
      </c>
      <c r="C148" t="s">
        <v>30</v>
      </c>
      <c r="D148" t="s">
        <v>15</v>
      </c>
      <c r="E148" t="s">
        <v>11</v>
      </c>
      <c r="F148" t="s">
        <v>12</v>
      </c>
      <c r="G148">
        <v>3</v>
      </c>
      <c r="H148" t="s">
        <v>231</v>
      </c>
      <c r="I148" t="s">
        <v>239</v>
      </c>
      <c r="J148">
        <v>12525</v>
      </c>
    </row>
    <row r="149" spans="1:10" x14ac:dyDescent="0.3">
      <c r="A149">
        <v>148</v>
      </c>
      <c r="B149" t="s">
        <v>148</v>
      </c>
      <c r="C149" t="s">
        <v>18</v>
      </c>
      <c r="D149" t="s">
        <v>19</v>
      </c>
      <c r="E149" t="s">
        <v>22</v>
      </c>
      <c r="F149" t="s">
        <v>16</v>
      </c>
      <c r="G149">
        <v>5</v>
      </c>
      <c r="H149" t="s">
        <v>230</v>
      </c>
      <c r="I149" t="s">
        <v>237</v>
      </c>
      <c r="J149">
        <v>13815</v>
      </c>
    </row>
    <row r="150" spans="1:10" x14ac:dyDescent="0.3">
      <c r="A150">
        <v>149</v>
      </c>
      <c r="B150" t="s">
        <v>8</v>
      </c>
      <c r="C150" t="s">
        <v>21</v>
      </c>
      <c r="D150" t="s">
        <v>10</v>
      </c>
      <c r="E150" t="s">
        <v>28</v>
      </c>
      <c r="F150" t="s">
        <v>12</v>
      </c>
      <c r="G150">
        <v>1</v>
      </c>
      <c r="H150" t="s">
        <v>230</v>
      </c>
      <c r="I150" t="s">
        <v>232</v>
      </c>
      <c r="J150">
        <v>2353</v>
      </c>
    </row>
    <row r="151" spans="1:10" x14ac:dyDescent="0.3">
      <c r="A151">
        <v>150</v>
      </c>
      <c r="B151" t="s">
        <v>149</v>
      </c>
      <c r="C151" t="s">
        <v>21</v>
      </c>
      <c r="D151" t="s">
        <v>10</v>
      </c>
      <c r="E151" t="s">
        <v>31</v>
      </c>
      <c r="F151" t="s">
        <v>16</v>
      </c>
      <c r="G151">
        <v>3</v>
      </c>
      <c r="H151" t="s">
        <v>230</v>
      </c>
      <c r="I151" t="s">
        <v>240</v>
      </c>
      <c r="J151">
        <v>3501</v>
      </c>
    </row>
    <row r="152" spans="1:10" x14ac:dyDescent="0.3">
      <c r="A152">
        <v>151</v>
      </c>
      <c r="B152" t="s">
        <v>105</v>
      </c>
      <c r="C152" t="s">
        <v>39</v>
      </c>
      <c r="D152" t="s">
        <v>19</v>
      </c>
      <c r="E152" t="s">
        <v>22</v>
      </c>
      <c r="F152" t="s">
        <v>16</v>
      </c>
      <c r="G152">
        <v>1</v>
      </c>
      <c r="H152" t="s">
        <v>231</v>
      </c>
      <c r="I152" t="s">
        <v>243</v>
      </c>
      <c r="J152">
        <v>4633</v>
      </c>
    </row>
    <row r="153" spans="1:10" x14ac:dyDescent="0.3">
      <c r="A153">
        <v>152</v>
      </c>
      <c r="B153" t="s">
        <v>86</v>
      </c>
      <c r="C153" t="s">
        <v>24</v>
      </c>
      <c r="D153" t="s">
        <v>10</v>
      </c>
      <c r="E153" t="s">
        <v>28</v>
      </c>
      <c r="F153" t="s">
        <v>16</v>
      </c>
      <c r="G153">
        <v>5</v>
      </c>
      <c r="H153" t="s">
        <v>230</v>
      </c>
      <c r="I153" t="s">
        <v>239</v>
      </c>
      <c r="J153">
        <v>21790</v>
      </c>
    </row>
    <row r="154" spans="1:10" x14ac:dyDescent="0.3">
      <c r="A154">
        <v>153</v>
      </c>
      <c r="B154" t="s">
        <v>150</v>
      </c>
      <c r="C154" t="s">
        <v>30</v>
      </c>
      <c r="D154" t="s">
        <v>15</v>
      </c>
      <c r="E154" t="s">
        <v>28</v>
      </c>
      <c r="F154" t="s">
        <v>12</v>
      </c>
      <c r="G154">
        <v>5</v>
      </c>
      <c r="H154" t="s">
        <v>231</v>
      </c>
      <c r="I154" t="s">
        <v>239</v>
      </c>
      <c r="J154">
        <v>5580</v>
      </c>
    </row>
    <row r="155" spans="1:10" x14ac:dyDescent="0.3">
      <c r="A155">
        <v>154</v>
      </c>
      <c r="B155" t="s">
        <v>151</v>
      </c>
      <c r="C155" t="s">
        <v>30</v>
      </c>
      <c r="D155" t="s">
        <v>15</v>
      </c>
      <c r="E155" t="s">
        <v>11</v>
      </c>
      <c r="F155" t="s">
        <v>12</v>
      </c>
      <c r="G155">
        <v>4</v>
      </c>
      <c r="H155" t="s">
        <v>231</v>
      </c>
      <c r="I155" t="s">
        <v>239</v>
      </c>
      <c r="J155">
        <v>13640</v>
      </c>
    </row>
    <row r="156" spans="1:10" x14ac:dyDescent="0.3">
      <c r="A156">
        <v>155</v>
      </c>
      <c r="B156" t="s">
        <v>152</v>
      </c>
      <c r="C156" t="s">
        <v>30</v>
      </c>
      <c r="D156" t="s">
        <v>15</v>
      </c>
      <c r="E156" t="s">
        <v>22</v>
      </c>
      <c r="F156" t="s">
        <v>16</v>
      </c>
      <c r="G156">
        <v>3</v>
      </c>
      <c r="H156" t="s">
        <v>230</v>
      </c>
      <c r="I156" t="s">
        <v>239</v>
      </c>
      <c r="J156">
        <v>10485</v>
      </c>
    </row>
    <row r="157" spans="1:10" x14ac:dyDescent="0.3">
      <c r="A157">
        <v>156</v>
      </c>
      <c r="B157" t="s">
        <v>153</v>
      </c>
      <c r="C157" t="s">
        <v>24</v>
      </c>
      <c r="D157" t="s">
        <v>10</v>
      </c>
      <c r="E157" t="s">
        <v>11</v>
      </c>
      <c r="F157" t="s">
        <v>12</v>
      </c>
      <c r="G157">
        <v>2</v>
      </c>
      <c r="H157" t="s">
        <v>230</v>
      </c>
      <c r="I157" t="s">
        <v>241</v>
      </c>
      <c r="J157">
        <v>5484</v>
      </c>
    </row>
    <row r="158" spans="1:10" x14ac:dyDescent="0.3">
      <c r="A158">
        <v>157</v>
      </c>
      <c r="B158" t="s">
        <v>154</v>
      </c>
      <c r="C158" t="s">
        <v>9</v>
      </c>
      <c r="D158" t="s">
        <v>10</v>
      </c>
      <c r="E158" t="s">
        <v>28</v>
      </c>
      <c r="F158" t="s">
        <v>12</v>
      </c>
      <c r="G158">
        <v>5</v>
      </c>
      <c r="H158" t="s">
        <v>230</v>
      </c>
      <c r="I158" t="s">
        <v>237</v>
      </c>
      <c r="J158">
        <v>16900</v>
      </c>
    </row>
    <row r="159" spans="1:10" x14ac:dyDescent="0.3">
      <c r="A159">
        <v>158</v>
      </c>
      <c r="B159" t="s">
        <v>155</v>
      </c>
      <c r="C159" t="s">
        <v>9</v>
      </c>
      <c r="D159" t="s">
        <v>10</v>
      </c>
      <c r="E159" t="s">
        <v>11</v>
      </c>
      <c r="F159" t="s">
        <v>16</v>
      </c>
      <c r="G159">
        <v>3</v>
      </c>
      <c r="H159" t="s">
        <v>231</v>
      </c>
      <c r="I159" t="s">
        <v>241</v>
      </c>
      <c r="J159">
        <v>12459</v>
      </c>
    </row>
    <row r="160" spans="1:10" x14ac:dyDescent="0.3">
      <c r="A160">
        <v>159</v>
      </c>
      <c r="B160" t="s">
        <v>109</v>
      </c>
      <c r="C160" t="s">
        <v>14</v>
      </c>
      <c r="D160" t="s">
        <v>15</v>
      </c>
      <c r="E160" t="s">
        <v>31</v>
      </c>
      <c r="F160" t="s">
        <v>16</v>
      </c>
      <c r="G160">
        <v>5</v>
      </c>
      <c r="H160" t="s">
        <v>230</v>
      </c>
      <c r="I160" t="s">
        <v>236</v>
      </c>
      <c r="J160">
        <v>7010</v>
      </c>
    </row>
    <row r="161" spans="1:10" x14ac:dyDescent="0.3">
      <c r="A161">
        <v>160</v>
      </c>
      <c r="B161" t="s">
        <v>108</v>
      </c>
      <c r="C161" t="s">
        <v>30</v>
      </c>
      <c r="D161" t="s">
        <v>15</v>
      </c>
      <c r="E161" t="s">
        <v>28</v>
      </c>
      <c r="F161" t="s">
        <v>16</v>
      </c>
      <c r="G161">
        <v>3</v>
      </c>
      <c r="H161" t="s">
        <v>230</v>
      </c>
      <c r="I161" t="s">
        <v>238</v>
      </c>
      <c r="J161">
        <v>8394</v>
      </c>
    </row>
    <row r="162" spans="1:10" x14ac:dyDescent="0.3">
      <c r="A162">
        <v>161</v>
      </c>
      <c r="B162" t="s">
        <v>112</v>
      </c>
      <c r="C162" t="s">
        <v>24</v>
      </c>
      <c r="D162" t="s">
        <v>10</v>
      </c>
      <c r="E162" t="s">
        <v>22</v>
      </c>
      <c r="F162" t="s">
        <v>12</v>
      </c>
      <c r="G162">
        <v>5</v>
      </c>
      <c r="H162" t="s">
        <v>230</v>
      </c>
      <c r="I162" t="s">
        <v>241</v>
      </c>
      <c r="J162">
        <v>18110</v>
      </c>
    </row>
    <row r="163" spans="1:10" x14ac:dyDescent="0.3">
      <c r="A163">
        <v>162</v>
      </c>
      <c r="B163" t="s">
        <v>156</v>
      </c>
      <c r="C163" t="s">
        <v>14</v>
      </c>
      <c r="D163" t="s">
        <v>15</v>
      </c>
      <c r="E163" t="s">
        <v>11</v>
      </c>
      <c r="F163" t="s">
        <v>16</v>
      </c>
      <c r="G163">
        <v>2</v>
      </c>
      <c r="H163" t="s">
        <v>231</v>
      </c>
      <c r="I163" t="s">
        <v>238</v>
      </c>
      <c r="J163">
        <v>9268</v>
      </c>
    </row>
    <row r="164" spans="1:10" x14ac:dyDescent="0.3">
      <c r="A164">
        <v>163</v>
      </c>
      <c r="B164" t="s">
        <v>157</v>
      </c>
      <c r="C164" t="s">
        <v>30</v>
      </c>
      <c r="D164" t="s">
        <v>15</v>
      </c>
      <c r="E164" t="s">
        <v>28</v>
      </c>
      <c r="F164" t="s">
        <v>16</v>
      </c>
      <c r="G164">
        <v>1</v>
      </c>
      <c r="H164" t="s">
        <v>230</v>
      </c>
      <c r="I164" t="s">
        <v>239</v>
      </c>
      <c r="J164">
        <v>3528</v>
      </c>
    </row>
    <row r="165" spans="1:10" x14ac:dyDescent="0.3">
      <c r="A165">
        <v>164</v>
      </c>
      <c r="B165" t="s">
        <v>158</v>
      </c>
      <c r="C165" t="s">
        <v>24</v>
      </c>
      <c r="D165" t="s">
        <v>10</v>
      </c>
      <c r="E165" t="s">
        <v>28</v>
      </c>
      <c r="F165" t="s">
        <v>12</v>
      </c>
      <c r="G165">
        <v>5</v>
      </c>
      <c r="H165" t="s">
        <v>230</v>
      </c>
      <c r="I165" t="s">
        <v>232</v>
      </c>
      <c r="J165">
        <v>12675</v>
      </c>
    </row>
    <row r="166" spans="1:10" x14ac:dyDescent="0.3">
      <c r="A166">
        <v>165</v>
      </c>
      <c r="B166" t="s">
        <v>159</v>
      </c>
      <c r="C166" t="s">
        <v>21</v>
      </c>
      <c r="D166" t="s">
        <v>10</v>
      </c>
      <c r="E166" t="s">
        <v>22</v>
      </c>
      <c r="F166" t="s">
        <v>12</v>
      </c>
      <c r="G166">
        <v>1</v>
      </c>
      <c r="H166" t="s">
        <v>231</v>
      </c>
      <c r="I166" t="s">
        <v>243</v>
      </c>
      <c r="J166">
        <v>2785</v>
      </c>
    </row>
    <row r="167" spans="1:10" x14ac:dyDescent="0.3">
      <c r="A167">
        <v>166</v>
      </c>
      <c r="B167" t="s">
        <v>102</v>
      </c>
      <c r="C167" t="s">
        <v>24</v>
      </c>
      <c r="D167" t="s">
        <v>10</v>
      </c>
      <c r="E167" t="s">
        <v>11</v>
      </c>
      <c r="F167" t="s">
        <v>12</v>
      </c>
      <c r="G167">
        <v>5</v>
      </c>
      <c r="H167" t="s">
        <v>230</v>
      </c>
      <c r="I167" t="s">
        <v>239</v>
      </c>
      <c r="J167">
        <v>21840</v>
      </c>
    </row>
    <row r="168" spans="1:10" x14ac:dyDescent="0.3">
      <c r="A168">
        <v>167</v>
      </c>
      <c r="B168" t="s">
        <v>123</v>
      </c>
      <c r="C168" t="s">
        <v>14</v>
      </c>
      <c r="D168" t="s">
        <v>15</v>
      </c>
      <c r="E168" t="s">
        <v>11</v>
      </c>
      <c r="F168" t="s">
        <v>16</v>
      </c>
      <c r="G168">
        <v>1</v>
      </c>
      <c r="H168" t="s">
        <v>230</v>
      </c>
      <c r="I168" t="s">
        <v>234</v>
      </c>
      <c r="J168">
        <v>3890</v>
      </c>
    </row>
    <row r="169" spans="1:10" x14ac:dyDescent="0.3">
      <c r="A169">
        <v>168</v>
      </c>
      <c r="B169" t="s">
        <v>160</v>
      </c>
      <c r="C169" t="s">
        <v>39</v>
      </c>
      <c r="D169" t="s">
        <v>19</v>
      </c>
      <c r="E169" t="s">
        <v>22</v>
      </c>
      <c r="F169" t="s">
        <v>16</v>
      </c>
      <c r="G169">
        <v>4</v>
      </c>
      <c r="H169" t="s">
        <v>231</v>
      </c>
      <c r="I169" t="s">
        <v>243</v>
      </c>
      <c r="J169">
        <v>13076</v>
      </c>
    </row>
    <row r="170" spans="1:10" x14ac:dyDescent="0.3">
      <c r="A170">
        <v>169</v>
      </c>
      <c r="B170" t="s">
        <v>161</v>
      </c>
      <c r="C170" t="s">
        <v>21</v>
      </c>
      <c r="D170" t="s">
        <v>10</v>
      </c>
      <c r="E170" t="s">
        <v>22</v>
      </c>
      <c r="F170" t="s">
        <v>12</v>
      </c>
      <c r="G170">
        <v>5</v>
      </c>
      <c r="H170" t="s">
        <v>231</v>
      </c>
      <c r="I170" t="s">
        <v>239</v>
      </c>
      <c r="J170">
        <v>21230</v>
      </c>
    </row>
    <row r="171" spans="1:10" x14ac:dyDescent="0.3">
      <c r="A171">
        <v>170</v>
      </c>
      <c r="B171" t="s">
        <v>162</v>
      </c>
      <c r="C171" t="s">
        <v>21</v>
      </c>
      <c r="D171" t="s">
        <v>10</v>
      </c>
      <c r="E171" t="s">
        <v>28</v>
      </c>
      <c r="F171" t="s">
        <v>12</v>
      </c>
      <c r="G171">
        <v>3</v>
      </c>
      <c r="H171" t="s">
        <v>230</v>
      </c>
      <c r="I171" t="s">
        <v>239</v>
      </c>
      <c r="J171">
        <v>7929</v>
      </c>
    </row>
    <row r="172" spans="1:10" x14ac:dyDescent="0.3">
      <c r="A172">
        <v>171</v>
      </c>
      <c r="B172" t="s">
        <v>86</v>
      </c>
      <c r="C172" t="s">
        <v>39</v>
      </c>
      <c r="D172" t="s">
        <v>19</v>
      </c>
      <c r="E172" t="s">
        <v>22</v>
      </c>
      <c r="F172" t="s">
        <v>12</v>
      </c>
      <c r="G172">
        <v>1</v>
      </c>
      <c r="H172" t="s">
        <v>230</v>
      </c>
      <c r="I172" t="s">
        <v>239</v>
      </c>
      <c r="J172">
        <v>4461</v>
      </c>
    </row>
    <row r="173" spans="1:10" x14ac:dyDescent="0.3">
      <c r="A173">
        <v>172</v>
      </c>
      <c r="B173" t="s">
        <v>163</v>
      </c>
      <c r="C173" t="s">
        <v>24</v>
      </c>
      <c r="D173" t="s">
        <v>10</v>
      </c>
      <c r="E173" t="s">
        <v>11</v>
      </c>
      <c r="F173" t="s">
        <v>16</v>
      </c>
      <c r="G173">
        <v>1</v>
      </c>
      <c r="H173" t="s">
        <v>230</v>
      </c>
      <c r="I173" t="s">
        <v>236</v>
      </c>
      <c r="J173">
        <v>1411</v>
      </c>
    </row>
    <row r="174" spans="1:10" x14ac:dyDescent="0.3">
      <c r="A174">
        <v>173</v>
      </c>
      <c r="B174" t="s">
        <v>164</v>
      </c>
      <c r="C174" t="s">
        <v>14</v>
      </c>
      <c r="D174" t="s">
        <v>15</v>
      </c>
      <c r="E174" t="s">
        <v>28</v>
      </c>
      <c r="F174" t="s">
        <v>16</v>
      </c>
      <c r="G174">
        <v>2</v>
      </c>
      <c r="H174" t="s">
        <v>230</v>
      </c>
      <c r="I174" t="s">
        <v>232</v>
      </c>
      <c r="J174">
        <v>2820</v>
      </c>
    </row>
    <row r="175" spans="1:10" x14ac:dyDescent="0.3">
      <c r="A175">
        <v>174</v>
      </c>
      <c r="B175" t="s">
        <v>163</v>
      </c>
      <c r="C175" t="s">
        <v>14</v>
      </c>
      <c r="D175" t="s">
        <v>15</v>
      </c>
      <c r="E175" t="s">
        <v>28</v>
      </c>
      <c r="F175" t="s">
        <v>16</v>
      </c>
      <c r="G175">
        <v>5</v>
      </c>
      <c r="H175" t="s">
        <v>230</v>
      </c>
      <c r="I175" t="s">
        <v>236</v>
      </c>
      <c r="J175">
        <v>23915</v>
      </c>
    </row>
    <row r="176" spans="1:10" x14ac:dyDescent="0.3">
      <c r="A176">
        <v>175</v>
      </c>
      <c r="B176" t="s">
        <v>97</v>
      </c>
      <c r="C176" t="s">
        <v>21</v>
      </c>
      <c r="D176" t="s">
        <v>10</v>
      </c>
      <c r="E176" t="s">
        <v>31</v>
      </c>
      <c r="F176" t="s">
        <v>12</v>
      </c>
      <c r="G176">
        <v>2</v>
      </c>
      <c r="H176" t="s">
        <v>230</v>
      </c>
      <c r="I176" t="s">
        <v>238</v>
      </c>
      <c r="J176">
        <v>9816</v>
      </c>
    </row>
    <row r="177" spans="1:10" x14ac:dyDescent="0.3">
      <c r="A177">
        <v>176</v>
      </c>
      <c r="B177" t="s">
        <v>165</v>
      </c>
      <c r="C177" t="s">
        <v>9</v>
      </c>
      <c r="D177" t="s">
        <v>10</v>
      </c>
      <c r="E177" t="s">
        <v>22</v>
      </c>
      <c r="F177" t="s">
        <v>12</v>
      </c>
      <c r="G177">
        <v>5</v>
      </c>
      <c r="H177" t="s">
        <v>230</v>
      </c>
      <c r="I177" t="s">
        <v>241</v>
      </c>
      <c r="J177">
        <v>4000</v>
      </c>
    </row>
    <row r="178" spans="1:10" x14ac:dyDescent="0.3">
      <c r="A178">
        <v>177</v>
      </c>
      <c r="B178" t="s">
        <v>25</v>
      </c>
      <c r="C178" t="s">
        <v>14</v>
      </c>
      <c r="D178" t="s">
        <v>15</v>
      </c>
      <c r="E178" t="s">
        <v>22</v>
      </c>
      <c r="F178" t="s">
        <v>12</v>
      </c>
      <c r="G178">
        <v>2</v>
      </c>
      <c r="H178" t="s">
        <v>230</v>
      </c>
      <c r="I178" t="s">
        <v>232</v>
      </c>
      <c r="J178">
        <v>1512</v>
      </c>
    </row>
    <row r="179" spans="1:10" x14ac:dyDescent="0.3">
      <c r="A179">
        <v>178</v>
      </c>
      <c r="B179" t="s">
        <v>92</v>
      </c>
      <c r="C179" t="s">
        <v>14</v>
      </c>
      <c r="D179" t="s">
        <v>15</v>
      </c>
      <c r="E179" t="s">
        <v>11</v>
      </c>
      <c r="F179" t="s">
        <v>16</v>
      </c>
      <c r="G179">
        <v>3</v>
      </c>
      <c r="H179" t="s">
        <v>230</v>
      </c>
      <c r="I179" t="s">
        <v>238</v>
      </c>
      <c r="J179">
        <v>9099</v>
      </c>
    </row>
    <row r="180" spans="1:10" x14ac:dyDescent="0.3">
      <c r="A180">
        <v>179</v>
      </c>
      <c r="B180" t="s">
        <v>166</v>
      </c>
      <c r="C180" t="s">
        <v>24</v>
      </c>
      <c r="D180" t="s">
        <v>10</v>
      </c>
      <c r="E180" t="s">
        <v>28</v>
      </c>
      <c r="F180" t="s">
        <v>16</v>
      </c>
      <c r="G180">
        <v>1</v>
      </c>
      <c r="H180" t="s">
        <v>230</v>
      </c>
      <c r="I180" t="s">
        <v>243</v>
      </c>
      <c r="J180">
        <v>1727</v>
      </c>
    </row>
    <row r="181" spans="1:10" x14ac:dyDescent="0.3">
      <c r="A181">
        <v>180</v>
      </c>
      <c r="B181" t="s">
        <v>52</v>
      </c>
      <c r="C181" t="s">
        <v>14</v>
      </c>
      <c r="D181" t="s">
        <v>15</v>
      </c>
      <c r="E181" t="s">
        <v>22</v>
      </c>
      <c r="F181" t="s">
        <v>12</v>
      </c>
      <c r="G181">
        <v>2</v>
      </c>
      <c r="H181" t="s">
        <v>230</v>
      </c>
      <c r="I181" t="s">
        <v>236</v>
      </c>
      <c r="J181">
        <v>3952</v>
      </c>
    </row>
    <row r="182" spans="1:10" x14ac:dyDescent="0.3">
      <c r="A182">
        <v>181</v>
      </c>
      <c r="B182" t="s">
        <v>167</v>
      </c>
      <c r="C182" t="s">
        <v>9</v>
      </c>
      <c r="D182" t="s">
        <v>10</v>
      </c>
      <c r="E182" t="s">
        <v>31</v>
      </c>
      <c r="F182" t="s">
        <v>16</v>
      </c>
      <c r="G182">
        <v>2</v>
      </c>
      <c r="H182" t="s">
        <v>230</v>
      </c>
      <c r="I182" t="s">
        <v>243</v>
      </c>
      <c r="J182">
        <v>1826</v>
      </c>
    </row>
    <row r="183" spans="1:10" x14ac:dyDescent="0.3">
      <c r="A183">
        <v>182</v>
      </c>
      <c r="B183" t="s">
        <v>35</v>
      </c>
      <c r="C183" t="s">
        <v>18</v>
      </c>
      <c r="D183" t="s">
        <v>19</v>
      </c>
      <c r="E183" t="s">
        <v>31</v>
      </c>
      <c r="F183" t="s">
        <v>16</v>
      </c>
      <c r="G183">
        <v>3</v>
      </c>
      <c r="H183" t="s">
        <v>230</v>
      </c>
      <c r="I183" t="s">
        <v>240</v>
      </c>
      <c r="J183">
        <v>14907</v>
      </c>
    </row>
    <row r="184" spans="1:10" x14ac:dyDescent="0.3">
      <c r="A184">
        <v>183</v>
      </c>
      <c r="B184" t="s">
        <v>75</v>
      </c>
      <c r="C184" t="s">
        <v>39</v>
      </c>
      <c r="D184" t="s">
        <v>19</v>
      </c>
      <c r="E184" t="s">
        <v>28</v>
      </c>
      <c r="F184" t="s">
        <v>12</v>
      </c>
      <c r="G184">
        <v>2</v>
      </c>
      <c r="H184" t="s">
        <v>231</v>
      </c>
      <c r="I184" t="s">
        <v>232</v>
      </c>
      <c r="J184">
        <v>1802</v>
      </c>
    </row>
    <row r="185" spans="1:10" x14ac:dyDescent="0.3">
      <c r="A185">
        <v>184</v>
      </c>
      <c r="B185" t="s">
        <v>13</v>
      </c>
      <c r="C185" t="s">
        <v>14</v>
      </c>
      <c r="D185" t="s">
        <v>15</v>
      </c>
      <c r="E185" t="s">
        <v>11</v>
      </c>
      <c r="F185" t="s">
        <v>12</v>
      </c>
      <c r="G185">
        <v>1</v>
      </c>
      <c r="H185" t="s">
        <v>230</v>
      </c>
      <c r="I185" t="s">
        <v>233</v>
      </c>
      <c r="J185">
        <v>1123</v>
      </c>
    </row>
    <row r="186" spans="1:10" x14ac:dyDescent="0.3">
      <c r="A186">
        <v>185</v>
      </c>
      <c r="B186" t="s">
        <v>168</v>
      </c>
      <c r="C186" t="s">
        <v>21</v>
      </c>
      <c r="D186" t="s">
        <v>10</v>
      </c>
      <c r="E186" t="s">
        <v>11</v>
      </c>
      <c r="F186" t="s">
        <v>16</v>
      </c>
      <c r="G186">
        <v>2</v>
      </c>
      <c r="H186" t="s">
        <v>230</v>
      </c>
      <c r="I186" t="s">
        <v>241</v>
      </c>
      <c r="J186">
        <v>8688</v>
      </c>
    </row>
    <row r="187" spans="1:10" x14ac:dyDescent="0.3">
      <c r="A187">
        <v>186</v>
      </c>
      <c r="B187" t="s">
        <v>169</v>
      </c>
      <c r="C187" t="s">
        <v>30</v>
      </c>
      <c r="D187" t="s">
        <v>15</v>
      </c>
      <c r="E187" t="s">
        <v>28</v>
      </c>
      <c r="F187" t="s">
        <v>16</v>
      </c>
      <c r="G187">
        <v>2</v>
      </c>
      <c r="H187" t="s">
        <v>231</v>
      </c>
      <c r="I187" t="s">
        <v>232</v>
      </c>
      <c r="J187">
        <v>4180</v>
      </c>
    </row>
    <row r="188" spans="1:10" x14ac:dyDescent="0.3">
      <c r="A188">
        <v>187</v>
      </c>
      <c r="B188" t="s">
        <v>170</v>
      </c>
      <c r="C188" t="s">
        <v>30</v>
      </c>
      <c r="D188" t="s">
        <v>15</v>
      </c>
      <c r="E188" t="s">
        <v>28</v>
      </c>
      <c r="F188" t="s">
        <v>16</v>
      </c>
      <c r="G188">
        <v>4</v>
      </c>
      <c r="H188" t="s">
        <v>230</v>
      </c>
      <c r="I188" t="s">
        <v>232</v>
      </c>
      <c r="J188">
        <v>18592</v>
      </c>
    </row>
    <row r="189" spans="1:10" x14ac:dyDescent="0.3">
      <c r="A189">
        <v>188</v>
      </c>
      <c r="B189" t="s">
        <v>158</v>
      </c>
      <c r="C189" t="s">
        <v>18</v>
      </c>
      <c r="D189" t="s">
        <v>19</v>
      </c>
      <c r="E189" t="s">
        <v>28</v>
      </c>
      <c r="F189" t="s">
        <v>12</v>
      </c>
      <c r="G189">
        <v>2</v>
      </c>
      <c r="H189" t="s">
        <v>230</v>
      </c>
      <c r="I189" t="s">
        <v>232</v>
      </c>
      <c r="J189">
        <v>5378</v>
      </c>
    </row>
    <row r="190" spans="1:10" x14ac:dyDescent="0.3">
      <c r="A190">
        <v>189</v>
      </c>
      <c r="B190" t="s">
        <v>171</v>
      </c>
      <c r="C190" t="s">
        <v>9</v>
      </c>
      <c r="D190" t="s">
        <v>10</v>
      </c>
      <c r="E190" t="s">
        <v>22</v>
      </c>
      <c r="F190" t="s">
        <v>12</v>
      </c>
      <c r="G190">
        <v>5</v>
      </c>
      <c r="H190" t="s">
        <v>230</v>
      </c>
      <c r="I190" t="s">
        <v>234</v>
      </c>
      <c r="J190">
        <v>17215</v>
      </c>
    </row>
    <row r="191" spans="1:10" x14ac:dyDescent="0.3">
      <c r="A191">
        <v>190</v>
      </c>
      <c r="B191" t="s">
        <v>77</v>
      </c>
      <c r="C191" t="s">
        <v>14</v>
      </c>
      <c r="D191" t="s">
        <v>15</v>
      </c>
      <c r="E191" t="s">
        <v>11</v>
      </c>
      <c r="F191" t="s">
        <v>12</v>
      </c>
      <c r="G191">
        <v>1</v>
      </c>
      <c r="H191" t="s">
        <v>230</v>
      </c>
      <c r="I191" t="s">
        <v>237</v>
      </c>
      <c r="J191">
        <v>4721</v>
      </c>
    </row>
    <row r="192" spans="1:10" x14ac:dyDescent="0.3">
      <c r="A192">
        <v>191</v>
      </c>
      <c r="B192" t="s">
        <v>172</v>
      </c>
      <c r="C192" t="s">
        <v>9</v>
      </c>
      <c r="D192" t="s">
        <v>10</v>
      </c>
      <c r="E192" t="s">
        <v>28</v>
      </c>
      <c r="F192" t="s">
        <v>12</v>
      </c>
      <c r="G192">
        <v>3</v>
      </c>
      <c r="H192" t="s">
        <v>230</v>
      </c>
      <c r="I192" t="s">
        <v>235</v>
      </c>
      <c r="J192">
        <v>2475</v>
      </c>
    </row>
    <row r="193" spans="1:10" x14ac:dyDescent="0.3">
      <c r="A193">
        <v>192</v>
      </c>
      <c r="B193" t="s">
        <v>173</v>
      </c>
      <c r="C193" t="s">
        <v>39</v>
      </c>
      <c r="D193" t="s">
        <v>19</v>
      </c>
      <c r="E193" t="s">
        <v>31</v>
      </c>
      <c r="F193" t="s">
        <v>16</v>
      </c>
      <c r="G193">
        <v>5</v>
      </c>
      <c r="H193" t="s">
        <v>231</v>
      </c>
      <c r="I193" t="s">
        <v>236</v>
      </c>
      <c r="J193">
        <v>22955</v>
      </c>
    </row>
    <row r="194" spans="1:10" x14ac:dyDescent="0.3">
      <c r="A194">
        <v>193</v>
      </c>
      <c r="B194" t="s">
        <v>109</v>
      </c>
      <c r="C194" t="s">
        <v>39</v>
      </c>
      <c r="D194" t="s">
        <v>19</v>
      </c>
      <c r="E194" t="s">
        <v>31</v>
      </c>
      <c r="F194" t="s">
        <v>12</v>
      </c>
      <c r="G194">
        <v>4</v>
      </c>
      <c r="H194" t="s">
        <v>230</v>
      </c>
      <c r="I194" t="s">
        <v>236</v>
      </c>
      <c r="J194">
        <v>19228</v>
      </c>
    </row>
    <row r="195" spans="1:10" x14ac:dyDescent="0.3">
      <c r="A195">
        <v>194</v>
      </c>
      <c r="B195" t="s">
        <v>174</v>
      </c>
      <c r="C195" t="s">
        <v>14</v>
      </c>
      <c r="D195" t="s">
        <v>15</v>
      </c>
      <c r="E195" t="s">
        <v>22</v>
      </c>
      <c r="F195" t="s">
        <v>16</v>
      </c>
      <c r="G195">
        <v>3</v>
      </c>
      <c r="H195" t="s">
        <v>230</v>
      </c>
      <c r="I195" t="s">
        <v>233</v>
      </c>
      <c r="J195">
        <v>10074</v>
      </c>
    </row>
    <row r="196" spans="1:10" x14ac:dyDescent="0.3">
      <c r="A196">
        <v>195</v>
      </c>
      <c r="B196" t="s">
        <v>175</v>
      </c>
      <c r="C196" t="s">
        <v>21</v>
      </c>
      <c r="D196" t="s">
        <v>10</v>
      </c>
      <c r="E196" t="s">
        <v>28</v>
      </c>
      <c r="F196" t="s">
        <v>16</v>
      </c>
      <c r="G196">
        <v>2</v>
      </c>
      <c r="H196" t="s">
        <v>230</v>
      </c>
      <c r="I196" t="s">
        <v>239</v>
      </c>
      <c r="J196">
        <v>9474</v>
      </c>
    </row>
    <row r="197" spans="1:10" x14ac:dyDescent="0.3">
      <c r="A197">
        <v>196</v>
      </c>
      <c r="B197" t="s">
        <v>32</v>
      </c>
      <c r="C197" t="s">
        <v>39</v>
      </c>
      <c r="D197" t="s">
        <v>19</v>
      </c>
      <c r="E197" t="s">
        <v>31</v>
      </c>
      <c r="F197" t="s">
        <v>12</v>
      </c>
      <c r="G197">
        <v>2</v>
      </c>
      <c r="H197" t="s">
        <v>230</v>
      </c>
      <c r="I197" t="s">
        <v>236</v>
      </c>
      <c r="J197">
        <v>5102</v>
      </c>
    </row>
    <row r="198" spans="1:10" x14ac:dyDescent="0.3">
      <c r="A198">
        <v>197</v>
      </c>
      <c r="B198" t="s">
        <v>176</v>
      </c>
      <c r="C198" t="s">
        <v>9</v>
      </c>
      <c r="D198" t="s">
        <v>10</v>
      </c>
      <c r="E198" t="s">
        <v>28</v>
      </c>
      <c r="F198" t="s">
        <v>16</v>
      </c>
      <c r="G198">
        <v>4</v>
      </c>
      <c r="H198" t="s">
        <v>230</v>
      </c>
      <c r="I198" t="s">
        <v>239</v>
      </c>
      <c r="J198">
        <v>13208</v>
      </c>
    </row>
    <row r="199" spans="1:10" x14ac:dyDescent="0.3">
      <c r="A199">
        <v>198</v>
      </c>
      <c r="B199" t="s">
        <v>177</v>
      </c>
      <c r="C199" t="s">
        <v>30</v>
      </c>
      <c r="D199" t="s">
        <v>15</v>
      </c>
      <c r="E199" t="s">
        <v>31</v>
      </c>
      <c r="F199" t="s">
        <v>16</v>
      </c>
      <c r="G199">
        <v>1</v>
      </c>
      <c r="H199" t="s">
        <v>230</v>
      </c>
      <c r="I199" t="s">
        <v>236</v>
      </c>
      <c r="J199">
        <v>3132</v>
      </c>
    </row>
    <row r="200" spans="1:10" x14ac:dyDescent="0.3">
      <c r="A200">
        <v>199</v>
      </c>
      <c r="B200" t="s">
        <v>178</v>
      </c>
      <c r="C200" t="s">
        <v>39</v>
      </c>
      <c r="D200" t="s">
        <v>19</v>
      </c>
      <c r="E200" t="s">
        <v>22</v>
      </c>
      <c r="F200" t="s">
        <v>12</v>
      </c>
      <c r="G200">
        <v>4</v>
      </c>
      <c r="H200" t="s">
        <v>230</v>
      </c>
      <c r="I200" t="s">
        <v>237</v>
      </c>
      <c r="J200">
        <v>7232</v>
      </c>
    </row>
    <row r="201" spans="1:10" x14ac:dyDescent="0.3">
      <c r="A201">
        <v>200</v>
      </c>
      <c r="B201" t="s">
        <v>179</v>
      </c>
      <c r="C201" t="s">
        <v>14</v>
      </c>
      <c r="D201" t="s">
        <v>15</v>
      </c>
      <c r="E201" t="s">
        <v>31</v>
      </c>
      <c r="F201" t="s">
        <v>12</v>
      </c>
      <c r="G201">
        <v>5</v>
      </c>
      <c r="H201" t="s">
        <v>230</v>
      </c>
      <c r="I201" t="s">
        <v>240</v>
      </c>
      <c r="J201">
        <v>23145</v>
      </c>
    </row>
    <row r="202" spans="1:10" x14ac:dyDescent="0.3">
      <c r="A202">
        <v>201</v>
      </c>
      <c r="B202" t="s">
        <v>142</v>
      </c>
      <c r="C202" t="s">
        <v>9</v>
      </c>
      <c r="D202" t="s">
        <v>10</v>
      </c>
      <c r="E202" t="s">
        <v>28</v>
      </c>
      <c r="F202" t="s">
        <v>12</v>
      </c>
      <c r="G202">
        <v>3</v>
      </c>
      <c r="H202" t="s">
        <v>230</v>
      </c>
      <c r="I202" t="s">
        <v>242</v>
      </c>
      <c r="J202">
        <v>5952</v>
      </c>
    </row>
    <row r="203" spans="1:10" x14ac:dyDescent="0.3">
      <c r="A203">
        <v>202</v>
      </c>
      <c r="B203" t="s">
        <v>180</v>
      </c>
      <c r="C203" t="s">
        <v>24</v>
      </c>
      <c r="D203" t="s">
        <v>10</v>
      </c>
      <c r="E203" t="s">
        <v>11</v>
      </c>
      <c r="F203" t="s">
        <v>12</v>
      </c>
      <c r="G203">
        <v>3</v>
      </c>
      <c r="H203" t="s">
        <v>231</v>
      </c>
      <c r="I203" t="s">
        <v>239</v>
      </c>
      <c r="J203">
        <v>10536</v>
      </c>
    </row>
    <row r="204" spans="1:10" x14ac:dyDescent="0.3">
      <c r="A204">
        <v>203</v>
      </c>
      <c r="B204" t="s">
        <v>161</v>
      </c>
      <c r="C204" t="s">
        <v>30</v>
      </c>
      <c r="D204" t="s">
        <v>15</v>
      </c>
      <c r="E204" t="s">
        <v>22</v>
      </c>
      <c r="F204" t="s">
        <v>12</v>
      </c>
      <c r="G204">
        <v>1</v>
      </c>
      <c r="H204" t="s">
        <v>231</v>
      </c>
      <c r="I204" t="s">
        <v>239</v>
      </c>
      <c r="J204">
        <v>3842</v>
      </c>
    </row>
    <row r="205" spans="1:10" x14ac:dyDescent="0.3">
      <c r="A205">
        <v>204</v>
      </c>
      <c r="B205" t="s">
        <v>104</v>
      </c>
      <c r="C205" t="s">
        <v>9</v>
      </c>
      <c r="D205" t="s">
        <v>10</v>
      </c>
      <c r="E205" t="s">
        <v>22</v>
      </c>
      <c r="F205" t="s">
        <v>16</v>
      </c>
      <c r="G205">
        <v>3</v>
      </c>
      <c r="H205" t="s">
        <v>231</v>
      </c>
      <c r="I205" t="s">
        <v>234</v>
      </c>
      <c r="J205">
        <v>1623</v>
      </c>
    </row>
    <row r="206" spans="1:10" x14ac:dyDescent="0.3">
      <c r="A206">
        <v>205</v>
      </c>
      <c r="B206" t="s">
        <v>181</v>
      </c>
      <c r="C206" t="s">
        <v>14</v>
      </c>
      <c r="D206" t="s">
        <v>15</v>
      </c>
      <c r="E206" t="s">
        <v>22</v>
      </c>
      <c r="F206" t="s">
        <v>16</v>
      </c>
      <c r="G206">
        <v>1</v>
      </c>
      <c r="H206" t="s">
        <v>231</v>
      </c>
      <c r="I206" t="s">
        <v>238</v>
      </c>
      <c r="J206">
        <v>3829</v>
      </c>
    </row>
    <row r="207" spans="1:10" x14ac:dyDescent="0.3">
      <c r="A207">
        <v>206</v>
      </c>
      <c r="B207" t="s">
        <v>182</v>
      </c>
      <c r="C207" t="s">
        <v>14</v>
      </c>
      <c r="D207" t="s">
        <v>15</v>
      </c>
      <c r="E207" t="s">
        <v>28</v>
      </c>
      <c r="F207" t="s">
        <v>16</v>
      </c>
      <c r="G207">
        <v>5</v>
      </c>
      <c r="H207" t="s">
        <v>230</v>
      </c>
      <c r="I207" t="s">
        <v>237</v>
      </c>
      <c r="J207">
        <v>11600</v>
      </c>
    </row>
    <row r="208" spans="1:10" x14ac:dyDescent="0.3">
      <c r="A208">
        <v>207</v>
      </c>
      <c r="B208" t="s">
        <v>183</v>
      </c>
      <c r="C208" t="s">
        <v>14</v>
      </c>
      <c r="D208" t="s">
        <v>15</v>
      </c>
      <c r="E208" t="s">
        <v>22</v>
      </c>
      <c r="F208" t="s">
        <v>16</v>
      </c>
      <c r="G208">
        <v>3</v>
      </c>
      <c r="H208" t="s">
        <v>230</v>
      </c>
      <c r="I208" t="s">
        <v>232</v>
      </c>
      <c r="J208">
        <v>3516</v>
      </c>
    </row>
    <row r="209" spans="1:10" x14ac:dyDescent="0.3">
      <c r="A209">
        <v>208</v>
      </c>
      <c r="B209" t="s">
        <v>184</v>
      </c>
      <c r="C209" t="s">
        <v>39</v>
      </c>
      <c r="D209" t="s">
        <v>19</v>
      </c>
      <c r="E209" t="s">
        <v>22</v>
      </c>
      <c r="F209" t="s">
        <v>16</v>
      </c>
      <c r="G209">
        <v>1</v>
      </c>
      <c r="H209" t="s">
        <v>230</v>
      </c>
      <c r="I209" t="s">
        <v>242</v>
      </c>
      <c r="J209">
        <v>943</v>
      </c>
    </row>
    <row r="210" spans="1:10" x14ac:dyDescent="0.3">
      <c r="A210">
        <v>209</v>
      </c>
      <c r="B210" t="s">
        <v>185</v>
      </c>
      <c r="C210" t="s">
        <v>18</v>
      </c>
      <c r="D210" t="s">
        <v>19</v>
      </c>
      <c r="E210" t="s">
        <v>22</v>
      </c>
      <c r="F210" t="s">
        <v>16</v>
      </c>
      <c r="G210">
        <v>2</v>
      </c>
      <c r="H210" t="s">
        <v>231</v>
      </c>
      <c r="I210" t="s">
        <v>242</v>
      </c>
      <c r="J210">
        <v>7112</v>
      </c>
    </row>
    <row r="211" spans="1:10" x14ac:dyDescent="0.3">
      <c r="A211">
        <v>210</v>
      </c>
      <c r="B211" t="s">
        <v>186</v>
      </c>
      <c r="C211" t="s">
        <v>14</v>
      </c>
      <c r="D211" t="s">
        <v>15</v>
      </c>
      <c r="E211" t="s">
        <v>22</v>
      </c>
      <c r="F211" t="s">
        <v>12</v>
      </c>
      <c r="G211">
        <v>2</v>
      </c>
      <c r="H211" t="s">
        <v>231</v>
      </c>
      <c r="I211" t="s">
        <v>240</v>
      </c>
      <c r="J211">
        <v>6872</v>
      </c>
    </row>
    <row r="212" spans="1:10" x14ac:dyDescent="0.3">
      <c r="A212">
        <v>211</v>
      </c>
      <c r="B212" t="s">
        <v>88</v>
      </c>
      <c r="C212" t="s">
        <v>9</v>
      </c>
      <c r="D212" t="s">
        <v>10</v>
      </c>
      <c r="E212" t="s">
        <v>28</v>
      </c>
      <c r="F212" t="s">
        <v>16</v>
      </c>
      <c r="G212">
        <v>3</v>
      </c>
      <c r="H212" t="s">
        <v>230</v>
      </c>
      <c r="I212" t="s">
        <v>239</v>
      </c>
      <c r="J212">
        <v>14757</v>
      </c>
    </row>
    <row r="213" spans="1:10" x14ac:dyDescent="0.3">
      <c r="A213">
        <v>212</v>
      </c>
      <c r="B213" t="s">
        <v>187</v>
      </c>
      <c r="C213" t="s">
        <v>39</v>
      </c>
      <c r="D213" t="s">
        <v>19</v>
      </c>
      <c r="E213" t="s">
        <v>28</v>
      </c>
      <c r="F213" t="s">
        <v>12</v>
      </c>
      <c r="G213">
        <v>5</v>
      </c>
      <c r="H213" t="s">
        <v>230</v>
      </c>
      <c r="I213" t="s">
        <v>239</v>
      </c>
      <c r="J213">
        <v>18125</v>
      </c>
    </row>
    <row r="214" spans="1:10" x14ac:dyDescent="0.3">
      <c r="A214">
        <v>213</v>
      </c>
      <c r="B214" t="s">
        <v>103</v>
      </c>
      <c r="C214" t="s">
        <v>24</v>
      </c>
      <c r="D214" t="s">
        <v>10</v>
      </c>
      <c r="E214" t="s">
        <v>22</v>
      </c>
      <c r="F214" t="s">
        <v>16</v>
      </c>
      <c r="G214">
        <v>4</v>
      </c>
      <c r="H214" t="s">
        <v>231</v>
      </c>
      <c r="I214" t="s">
        <v>234</v>
      </c>
      <c r="J214">
        <v>15188</v>
      </c>
    </row>
    <row r="215" spans="1:10" x14ac:dyDescent="0.3">
      <c r="A215">
        <v>214</v>
      </c>
      <c r="B215" t="s">
        <v>188</v>
      </c>
      <c r="C215" t="s">
        <v>30</v>
      </c>
      <c r="D215" t="s">
        <v>15</v>
      </c>
      <c r="E215" t="s">
        <v>28</v>
      </c>
      <c r="F215" t="s">
        <v>12</v>
      </c>
      <c r="G215">
        <v>1</v>
      </c>
      <c r="H215" t="s">
        <v>230</v>
      </c>
      <c r="I215" t="s">
        <v>237</v>
      </c>
      <c r="J215">
        <v>663</v>
      </c>
    </row>
    <row r="216" spans="1:10" x14ac:dyDescent="0.3">
      <c r="A216">
        <v>215</v>
      </c>
      <c r="B216" t="s">
        <v>189</v>
      </c>
      <c r="C216" t="s">
        <v>18</v>
      </c>
      <c r="D216" t="s">
        <v>19</v>
      </c>
      <c r="E216" t="s">
        <v>22</v>
      </c>
      <c r="F216" t="s">
        <v>12</v>
      </c>
      <c r="G216">
        <v>2</v>
      </c>
      <c r="H216" t="s">
        <v>230</v>
      </c>
      <c r="I216" t="s">
        <v>232</v>
      </c>
      <c r="J216">
        <v>3972</v>
      </c>
    </row>
    <row r="217" spans="1:10" x14ac:dyDescent="0.3">
      <c r="A217">
        <v>216</v>
      </c>
      <c r="B217" t="s">
        <v>112</v>
      </c>
      <c r="C217" t="s">
        <v>18</v>
      </c>
      <c r="D217" t="s">
        <v>19</v>
      </c>
      <c r="E217" t="s">
        <v>31</v>
      </c>
      <c r="F217" t="s">
        <v>12</v>
      </c>
      <c r="G217">
        <v>2</v>
      </c>
      <c r="H217" t="s">
        <v>230</v>
      </c>
      <c r="I217" t="s">
        <v>241</v>
      </c>
      <c r="J217">
        <v>4268</v>
      </c>
    </row>
    <row r="218" spans="1:10" x14ac:dyDescent="0.3">
      <c r="A218">
        <v>217</v>
      </c>
      <c r="B218" t="s">
        <v>190</v>
      </c>
      <c r="C218" t="s">
        <v>9</v>
      </c>
      <c r="D218" t="s">
        <v>10</v>
      </c>
      <c r="E218" t="s">
        <v>28</v>
      </c>
      <c r="F218" t="s">
        <v>12</v>
      </c>
      <c r="G218">
        <v>2</v>
      </c>
      <c r="H218" t="s">
        <v>230</v>
      </c>
      <c r="I218" t="s">
        <v>236</v>
      </c>
      <c r="J218">
        <v>7558</v>
      </c>
    </row>
    <row r="219" spans="1:10" x14ac:dyDescent="0.3">
      <c r="A219">
        <v>218</v>
      </c>
      <c r="B219" t="s">
        <v>191</v>
      </c>
      <c r="C219" t="s">
        <v>39</v>
      </c>
      <c r="D219" t="s">
        <v>19</v>
      </c>
      <c r="E219" t="s">
        <v>31</v>
      </c>
      <c r="F219" t="s">
        <v>12</v>
      </c>
      <c r="G219">
        <v>4</v>
      </c>
      <c r="H219" t="s">
        <v>230</v>
      </c>
      <c r="I219" t="s">
        <v>235</v>
      </c>
      <c r="J219">
        <v>2088</v>
      </c>
    </row>
    <row r="220" spans="1:10" x14ac:dyDescent="0.3">
      <c r="A220">
        <v>219</v>
      </c>
      <c r="B220" t="s">
        <v>120</v>
      </c>
      <c r="C220" t="s">
        <v>9</v>
      </c>
      <c r="D220" t="s">
        <v>10</v>
      </c>
      <c r="E220" t="s">
        <v>28</v>
      </c>
      <c r="F220" t="s">
        <v>12</v>
      </c>
      <c r="G220">
        <v>5</v>
      </c>
      <c r="H220" t="s">
        <v>231</v>
      </c>
      <c r="I220" t="s">
        <v>235</v>
      </c>
      <c r="J220">
        <v>18375</v>
      </c>
    </row>
    <row r="221" spans="1:10" x14ac:dyDescent="0.3">
      <c r="A221">
        <v>220</v>
      </c>
      <c r="B221" t="s">
        <v>45</v>
      </c>
      <c r="C221" t="s">
        <v>14</v>
      </c>
      <c r="D221" t="s">
        <v>15</v>
      </c>
      <c r="E221" t="s">
        <v>31</v>
      </c>
      <c r="F221" t="s">
        <v>16</v>
      </c>
      <c r="G221">
        <v>2</v>
      </c>
      <c r="H221" t="s">
        <v>230</v>
      </c>
      <c r="I221" t="s">
        <v>242</v>
      </c>
      <c r="J221">
        <v>5952</v>
      </c>
    </row>
    <row r="222" spans="1:10" x14ac:dyDescent="0.3">
      <c r="A222">
        <v>221</v>
      </c>
      <c r="B222" t="s">
        <v>192</v>
      </c>
      <c r="C222" t="s">
        <v>21</v>
      </c>
      <c r="D222" t="s">
        <v>10</v>
      </c>
      <c r="E222" t="s">
        <v>22</v>
      </c>
      <c r="F222" t="s">
        <v>16</v>
      </c>
      <c r="G222">
        <v>1</v>
      </c>
      <c r="H222" t="s">
        <v>230</v>
      </c>
      <c r="I222" t="s">
        <v>241</v>
      </c>
      <c r="J222">
        <v>960</v>
      </c>
    </row>
    <row r="223" spans="1:10" x14ac:dyDescent="0.3">
      <c r="A223">
        <v>222</v>
      </c>
      <c r="B223" t="s">
        <v>73</v>
      </c>
      <c r="C223" t="s">
        <v>18</v>
      </c>
      <c r="D223" t="s">
        <v>19</v>
      </c>
      <c r="E223" t="s">
        <v>31</v>
      </c>
      <c r="F223" t="s">
        <v>16</v>
      </c>
      <c r="G223">
        <v>5</v>
      </c>
      <c r="H223" t="s">
        <v>230</v>
      </c>
      <c r="I223" t="s">
        <v>236</v>
      </c>
      <c r="J223">
        <v>3380</v>
      </c>
    </row>
    <row r="224" spans="1:10" x14ac:dyDescent="0.3">
      <c r="A224">
        <v>223</v>
      </c>
      <c r="B224" t="s">
        <v>193</v>
      </c>
      <c r="C224" t="s">
        <v>30</v>
      </c>
      <c r="D224" t="s">
        <v>15</v>
      </c>
      <c r="E224" t="s">
        <v>28</v>
      </c>
      <c r="F224" t="s">
        <v>16</v>
      </c>
      <c r="G224">
        <v>3</v>
      </c>
      <c r="H224" t="s">
        <v>230</v>
      </c>
      <c r="I224" t="s">
        <v>236</v>
      </c>
      <c r="J224">
        <v>9552</v>
      </c>
    </row>
    <row r="225" spans="1:10" x14ac:dyDescent="0.3">
      <c r="A225">
        <v>224</v>
      </c>
      <c r="B225" t="s">
        <v>108</v>
      </c>
      <c r="C225" t="s">
        <v>18</v>
      </c>
      <c r="D225" t="s">
        <v>19</v>
      </c>
      <c r="E225" t="s">
        <v>22</v>
      </c>
      <c r="F225" t="s">
        <v>12</v>
      </c>
      <c r="G225">
        <v>5</v>
      </c>
      <c r="H225" t="s">
        <v>230</v>
      </c>
      <c r="I225" t="s">
        <v>238</v>
      </c>
      <c r="J225">
        <v>17025</v>
      </c>
    </row>
    <row r="226" spans="1:10" x14ac:dyDescent="0.3">
      <c r="A226">
        <v>225</v>
      </c>
      <c r="B226" t="s">
        <v>165</v>
      </c>
      <c r="C226" t="s">
        <v>30</v>
      </c>
      <c r="D226" t="s">
        <v>15</v>
      </c>
      <c r="E226" t="s">
        <v>28</v>
      </c>
      <c r="F226" t="s">
        <v>16</v>
      </c>
      <c r="G226">
        <v>1</v>
      </c>
      <c r="H226" t="s">
        <v>230</v>
      </c>
      <c r="I226" t="s">
        <v>241</v>
      </c>
      <c r="J226">
        <v>4355</v>
      </c>
    </row>
    <row r="227" spans="1:10" x14ac:dyDescent="0.3">
      <c r="A227">
        <v>226</v>
      </c>
      <c r="B227" t="s">
        <v>194</v>
      </c>
      <c r="C227" t="s">
        <v>24</v>
      </c>
      <c r="D227" t="s">
        <v>10</v>
      </c>
      <c r="E227" t="s">
        <v>31</v>
      </c>
      <c r="F227" t="s">
        <v>12</v>
      </c>
      <c r="G227">
        <v>5</v>
      </c>
      <c r="H227" t="s">
        <v>230</v>
      </c>
      <c r="I227" t="s">
        <v>233</v>
      </c>
      <c r="J227">
        <v>13330</v>
      </c>
    </row>
    <row r="228" spans="1:10" x14ac:dyDescent="0.3">
      <c r="A228">
        <v>227</v>
      </c>
      <c r="B228" t="s">
        <v>195</v>
      </c>
      <c r="C228" t="s">
        <v>18</v>
      </c>
      <c r="D228" t="s">
        <v>19</v>
      </c>
      <c r="E228" t="s">
        <v>31</v>
      </c>
      <c r="F228" t="s">
        <v>12</v>
      </c>
      <c r="G228">
        <v>4</v>
      </c>
      <c r="H228" t="s">
        <v>230</v>
      </c>
      <c r="I228" t="s">
        <v>237</v>
      </c>
      <c r="J228">
        <v>15640</v>
      </c>
    </row>
    <row r="229" spans="1:10" x14ac:dyDescent="0.3">
      <c r="A229">
        <v>228</v>
      </c>
      <c r="B229" t="s">
        <v>79</v>
      </c>
      <c r="C229" t="s">
        <v>14</v>
      </c>
      <c r="D229" t="s">
        <v>15</v>
      </c>
      <c r="E229" t="s">
        <v>28</v>
      </c>
      <c r="F229" t="s">
        <v>12</v>
      </c>
      <c r="G229">
        <v>1</v>
      </c>
      <c r="H229" t="s">
        <v>230</v>
      </c>
      <c r="I229" t="s">
        <v>240</v>
      </c>
      <c r="J229">
        <v>1854</v>
      </c>
    </row>
    <row r="230" spans="1:10" x14ac:dyDescent="0.3">
      <c r="A230">
        <v>229</v>
      </c>
      <c r="B230" t="s">
        <v>87</v>
      </c>
      <c r="C230" t="s">
        <v>39</v>
      </c>
      <c r="D230" t="s">
        <v>19</v>
      </c>
      <c r="E230" t="s">
        <v>31</v>
      </c>
      <c r="F230" t="s">
        <v>12</v>
      </c>
      <c r="G230">
        <v>3</v>
      </c>
      <c r="H230" t="s">
        <v>231</v>
      </c>
      <c r="I230" t="s">
        <v>242</v>
      </c>
      <c r="J230">
        <v>6759</v>
      </c>
    </row>
    <row r="231" spans="1:10" x14ac:dyDescent="0.3">
      <c r="A231">
        <v>230</v>
      </c>
      <c r="B231" t="s">
        <v>196</v>
      </c>
      <c r="C231" t="s">
        <v>9</v>
      </c>
      <c r="D231" t="s">
        <v>10</v>
      </c>
      <c r="E231" t="s">
        <v>28</v>
      </c>
      <c r="F231" t="s">
        <v>12</v>
      </c>
      <c r="G231">
        <v>4</v>
      </c>
      <c r="H231" t="s">
        <v>230</v>
      </c>
      <c r="I231" t="s">
        <v>232</v>
      </c>
      <c r="J231">
        <v>5944</v>
      </c>
    </row>
    <row r="232" spans="1:10" x14ac:dyDescent="0.3">
      <c r="A232">
        <v>231</v>
      </c>
      <c r="B232" t="s">
        <v>197</v>
      </c>
      <c r="C232" t="s">
        <v>21</v>
      </c>
      <c r="D232" t="s">
        <v>10</v>
      </c>
      <c r="E232" t="s">
        <v>28</v>
      </c>
      <c r="F232" t="s">
        <v>12</v>
      </c>
      <c r="G232">
        <v>3</v>
      </c>
      <c r="H232" t="s">
        <v>231</v>
      </c>
      <c r="I232" t="s">
        <v>237</v>
      </c>
      <c r="J232">
        <v>3387</v>
      </c>
    </row>
    <row r="233" spans="1:10" x14ac:dyDescent="0.3">
      <c r="A233">
        <v>232</v>
      </c>
      <c r="B233" t="s">
        <v>191</v>
      </c>
      <c r="C233" t="s">
        <v>24</v>
      </c>
      <c r="D233" t="s">
        <v>10</v>
      </c>
      <c r="E233" t="s">
        <v>22</v>
      </c>
      <c r="F233" t="s">
        <v>16</v>
      </c>
      <c r="G233">
        <v>2</v>
      </c>
      <c r="H233" t="s">
        <v>230</v>
      </c>
      <c r="I233" t="s">
        <v>235</v>
      </c>
      <c r="J233">
        <v>7984</v>
      </c>
    </row>
    <row r="234" spans="1:10" x14ac:dyDescent="0.3">
      <c r="A234">
        <v>233</v>
      </c>
      <c r="B234" t="s">
        <v>198</v>
      </c>
      <c r="C234" t="s">
        <v>9</v>
      </c>
      <c r="D234" t="s">
        <v>10</v>
      </c>
      <c r="E234" t="s">
        <v>28</v>
      </c>
      <c r="F234" t="s">
        <v>16</v>
      </c>
      <c r="G234">
        <v>1</v>
      </c>
      <c r="H234" t="s">
        <v>231</v>
      </c>
      <c r="I234" t="s">
        <v>232</v>
      </c>
      <c r="J234">
        <v>4238</v>
      </c>
    </row>
    <row r="235" spans="1:10" x14ac:dyDescent="0.3">
      <c r="A235">
        <v>234</v>
      </c>
      <c r="B235" t="s">
        <v>199</v>
      </c>
      <c r="C235" t="s">
        <v>24</v>
      </c>
      <c r="D235" t="s">
        <v>10</v>
      </c>
      <c r="E235" t="s">
        <v>31</v>
      </c>
      <c r="F235" t="s">
        <v>16</v>
      </c>
      <c r="G235">
        <v>1</v>
      </c>
      <c r="H235" t="s">
        <v>231</v>
      </c>
      <c r="I235" t="s">
        <v>233</v>
      </c>
      <c r="J235">
        <v>1751</v>
      </c>
    </row>
    <row r="236" spans="1:10" x14ac:dyDescent="0.3">
      <c r="A236">
        <v>235</v>
      </c>
      <c r="B236" t="s">
        <v>200</v>
      </c>
      <c r="C236" t="s">
        <v>14</v>
      </c>
      <c r="D236" t="s">
        <v>15</v>
      </c>
      <c r="E236" t="s">
        <v>28</v>
      </c>
      <c r="F236" t="s">
        <v>12</v>
      </c>
      <c r="G236">
        <v>2</v>
      </c>
      <c r="H236" t="s">
        <v>230</v>
      </c>
      <c r="I236" t="s">
        <v>233</v>
      </c>
      <c r="J236">
        <v>2830</v>
      </c>
    </row>
    <row r="237" spans="1:10" x14ac:dyDescent="0.3">
      <c r="A237">
        <v>236</v>
      </c>
      <c r="B237" t="s">
        <v>201</v>
      </c>
      <c r="C237" t="s">
        <v>24</v>
      </c>
      <c r="D237" t="s">
        <v>10</v>
      </c>
      <c r="E237" t="s">
        <v>11</v>
      </c>
      <c r="F237" t="s">
        <v>16</v>
      </c>
      <c r="G237">
        <v>3</v>
      </c>
      <c r="H237" t="s">
        <v>231</v>
      </c>
      <c r="I237" t="s">
        <v>241</v>
      </c>
      <c r="J237">
        <v>6942</v>
      </c>
    </row>
    <row r="238" spans="1:10" x14ac:dyDescent="0.3">
      <c r="A238">
        <v>237</v>
      </c>
      <c r="B238" t="s">
        <v>176</v>
      </c>
      <c r="C238" t="s">
        <v>21</v>
      </c>
      <c r="D238" t="s">
        <v>10</v>
      </c>
      <c r="E238" t="s">
        <v>22</v>
      </c>
      <c r="F238" t="s">
        <v>16</v>
      </c>
      <c r="G238">
        <v>3</v>
      </c>
      <c r="H238" t="s">
        <v>230</v>
      </c>
      <c r="I238" t="s">
        <v>239</v>
      </c>
      <c r="J238">
        <v>6825</v>
      </c>
    </row>
    <row r="239" spans="1:10" x14ac:dyDescent="0.3">
      <c r="A239">
        <v>238</v>
      </c>
      <c r="B239" t="s">
        <v>107</v>
      </c>
      <c r="C239" t="s">
        <v>21</v>
      </c>
      <c r="D239" t="s">
        <v>10</v>
      </c>
      <c r="E239" t="s">
        <v>31</v>
      </c>
      <c r="F239" t="s">
        <v>12</v>
      </c>
      <c r="G239">
        <v>4</v>
      </c>
      <c r="H239" t="s">
        <v>230</v>
      </c>
      <c r="I239" t="s">
        <v>243</v>
      </c>
      <c r="J239">
        <v>17736</v>
      </c>
    </row>
    <row r="240" spans="1:10" x14ac:dyDescent="0.3">
      <c r="A240">
        <v>239</v>
      </c>
      <c r="B240" t="s">
        <v>70</v>
      </c>
      <c r="C240" t="s">
        <v>30</v>
      </c>
      <c r="D240" t="s">
        <v>15</v>
      </c>
      <c r="E240" t="s">
        <v>11</v>
      </c>
      <c r="F240" t="s">
        <v>12</v>
      </c>
      <c r="G240">
        <v>4</v>
      </c>
      <c r="H240" t="s">
        <v>231</v>
      </c>
      <c r="I240" t="s">
        <v>243</v>
      </c>
      <c r="J240">
        <v>16680</v>
      </c>
    </row>
    <row r="241" spans="1:10" x14ac:dyDescent="0.3">
      <c r="A241">
        <v>240</v>
      </c>
      <c r="B241" t="s">
        <v>202</v>
      </c>
      <c r="C241" t="s">
        <v>21</v>
      </c>
      <c r="D241" t="s">
        <v>10</v>
      </c>
      <c r="E241" t="s">
        <v>22</v>
      </c>
      <c r="F241" t="s">
        <v>16</v>
      </c>
      <c r="G241">
        <v>4</v>
      </c>
      <c r="H241" t="s">
        <v>230</v>
      </c>
      <c r="I241" t="s">
        <v>242</v>
      </c>
      <c r="J241">
        <v>18880</v>
      </c>
    </row>
    <row r="242" spans="1:10" x14ac:dyDescent="0.3">
      <c r="A242">
        <v>241</v>
      </c>
      <c r="B242" t="s">
        <v>203</v>
      </c>
      <c r="C242" t="s">
        <v>21</v>
      </c>
      <c r="D242" t="s">
        <v>10</v>
      </c>
      <c r="E242" t="s">
        <v>11</v>
      </c>
      <c r="F242" t="s">
        <v>16</v>
      </c>
      <c r="G242">
        <v>3</v>
      </c>
      <c r="H242" t="s">
        <v>230</v>
      </c>
      <c r="I242" t="s">
        <v>235</v>
      </c>
      <c r="J242">
        <v>2958</v>
      </c>
    </row>
    <row r="243" spans="1:10" x14ac:dyDescent="0.3">
      <c r="A243">
        <v>242</v>
      </c>
      <c r="B243" t="s">
        <v>204</v>
      </c>
      <c r="C243" t="s">
        <v>24</v>
      </c>
      <c r="D243" t="s">
        <v>10</v>
      </c>
      <c r="E243" t="s">
        <v>31</v>
      </c>
      <c r="F243" t="s">
        <v>16</v>
      </c>
      <c r="G243">
        <v>3</v>
      </c>
      <c r="H243" t="s">
        <v>230</v>
      </c>
      <c r="I243" t="s">
        <v>236</v>
      </c>
      <c r="J243">
        <v>5436</v>
      </c>
    </row>
    <row r="244" spans="1:10" x14ac:dyDescent="0.3">
      <c r="A244">
        <v>243</v>
      </c>
      <c r="B244" t="s">
        <v>205</v>
      </c>
      <c r="C244" t="s">
        <v>14</v>
      </c>
      <c r="D244" t="s">
        <v>15</v>
      </c>
      <c r="E244" t="s">
        <v>28</v>
      </c>
      <c r="F244" t="s">
        <v>12</v>
      </c>
      <c r="G244">
        <v>1</v>
      </c>
      <c r="H244" t="s">
        <v>230</v>
      </c>
      <c r="I244" t="s">
        <v>235</v>
      </c>
      <c r="J244">
        <v>3365</v>
      </c>
    </row>
    <row r="245" spans="1:10" x14ac:dyDescent="0.3">
      <c r="A245">
        <v>244</v>
      </c>
      <c r="B245" t="s">
        <v>71</v>
      </c>
      <c r="C245" t="s">
        <v>21</v>
      </c>
      <c r="D245" t="s">
        <v>10</v>
      </c>
      <c r="E245" t="s">
        <v>31</v>
      </c>
      <c r="F245" t="s">
        <v>16</v>
      </c>
      <c r="G245">
        <v>1</v>
      </c>
      <c r="H245" t="s">
        <v>231</v>
      </c>
      <c r="I245" t="s">
        <v>240</v>
      </c>
      <c r="J245">
        <v>2253</v>
      </c>
    </row>
    <row r="246" spans="1:10" x14ac:dyDescent="0.3">
      <c r="A246">
        <v>245</v>
      </c>
      <c r="B246" t="s">
        <v>118</v>
      </c>
      <c r="C246" t="s">
        <v>14</v>
      </c>
      <c r="D246" t="s">
        <v>15</v>
      </c>
      <c r="E246" t="s">
        <v>11</v>
      </c>
      <c r="F246" t="s">
        <v>12</v>
      </c>
      <c r="G246">
        <v>2</v>
      </c>
      <c r="H246" t="s">
        <v>231</v>
      </c>
      <c r="I246" t="s">
        <v>240</v>
      </c>
      <c r="J246">
        <v>1760</v>
      </c>
    </row>
    <row r="247" spans="1:10" x14ac:dyDescent="0.3">
      <c r="A247">
        <v>246</v>
      </c>
      <c r="B247" t="s">
        <v>101</v>
      </c>
      <c r="C247" t="s">
        <v>21</v>
      </c>
      <c r="D247" t="s">
        <v>10</v>
      </c>
      <c r="E247" t="s">
        <v>11</v>
      </c>
      <c r="F247" t="s">
        <v>16</v>
      </c>
      <c r="G247">
        <v>3</v>
      </c>
      <c r="H247" t="s">
        <v>230</v>
      </c>
      <c r="I247" t="s">
        <v>243</v>
      </c>
      <c r="J247">
        <v>6183</v>
      </c>
    </row>
    <row r="248" spans="1:10" x14ac:dyDescent="0.3">
      <c r="A248">
        <v>247</v>
      </c>
      <c r="B248" t="s">
        <v>196</v>
      </c>
      <c r="C248" t="s">
        <v>21</v>
      </c>
      <c r="D248" t="s">
        <v>10</v>
      </c>
      <c r="E248" t="s">
        <v>22</v>
      </c>
      <c r="F248" t="s">
        <v>12</v>
      </c>
      <c r="G248">
        <v>2</v>
      </c>
      <c r="H248" t="s">
        <v>230</v>
      </c>
      <c r="I248" t="s">
        <v>232</v>
      </c>
      <c r="J248">
        <v>5172</v>
      </c>
    </row>
    <row r="249" spans="1:10" x14ac:dyDescent="0.3">
      <c r="A249">
        <v>248</v>
      </c>
      <c r="B249" t="s">
        <v>206</v>
      </c>
      <c r="C249" t="s">
        <v>9</v>
      </c>
      <c r="D249" t="s">
        <v>10</v>
      </c>
      <c r="E249" t="s">
        <v>31</v>
      </c>
      <c r="F249" t="s">
        <v>12</v>
      </c>
      <c r="G249">
        <v>3</v>
      </c>
      <c r="H249" t="s">
        <v>231</v>
      </c>
      <c r="I249" t="s">
        <v>232</v>
      </c>
      <c r="J249">
        <v>5367</v>
      </c>
    </row>
    <row r="250" spans="1:10" x14ac:dyDescent="0.3">
      <c r="A250">
        <v>249</v>
      </c>
      <c r="B250" t="s">
        <v>191</v>
      </c>
      <c r="C250" t="s">
        <v>9</v>
      </c>
      <c r="D250" t="s">
        <v>10</v>
      </c>
      <c r="E250" t="s">
        <v>28</v>
      </c>
      <c r="F250" t="s">
        <v>12</v>
      </c>
      <c r="G250">
        <v>5</v>
      </c>
      <c r="H250" t="s">
        <v>230</v>
      </c>
      <c r="I250" t="s">
        <v>235</v>
      </c>
      <c r="J250">
        <v>14545</v>
      </c>
    </row>
    <row r="251" spans="1:10" x14ac:dyDescent="0.3">
      <c r="A251">
        <v>250</v>
      </c>
      <c r="B251" t="s">
        <v>83</v>
      </c>
      <c r="C251" t="s">
        <v>30</v>
      </c>
      <c r="D251" t="s">
        <v>15</v>
      </c>
      <c r="E251" t="s">
        <v>11</v>
      </c>
      <c r="F251" t="s">
        <v>16</v>
      </c>
      <c r="G251">
        <v>5</v>
      </c>
      <c r="H251" t="s">
        <v>230</v>
      </c>
      <c r="I251" t="s">
        <v>233</v>
      </c>
      <c r="J251">
        <v>12250</v>
      </c>
    </row>
    <row r="252" spans="1:10" x14ac:dyDescent="0.3">
      <c r="A252">
        <v>251</v>
      </c>
      <c r="B252" t="s">
        <v>207</v>
      </c>
      <c r="C252" t="s">
        <v>14</v>
      </c>
      <c r="D252" t="s">
        <v>15</v>
      </c>
      <c r="E252" t="s">
        <v>31</v>
      </c>
      <c r="F252" t="s">
        <v>16</v>
      </c>
      <c r="G252">
        <v>3</v>
      </c>
      <c r="H252" t="s">
        <v>231</v>
      </c>
      <c r="I252" t="s">
        <v>237</v>
      </c>
      <c r="J252">
        <v>1806</v>
      </c>
    </row>
    <row r="253" spans="1:10" x14ac:dyDescent="0.3">
      <c r="A253">
        <v>252</v>
      </c>
      <c r="B253" t="s">
        <v>33</v>
      </c>
      <c r="C253" t="s">
        <v>30</v>
      </c>
      <c r="D253" t="s">
        <v>15</v>
      </c>
      <c r="E253" t="s">
        <v>31</v>
      </c>
      <c r="F253" t="s">
        <v>16</v>
      </c>
      <c r="G253">
        <v>3</v>
      </c>
      <c r="H253" t="s">
        <v>231</v>
      </c>
      <c r="I253" t="s">
        <v>238</v>
      </c>
      <c r="J253">
        <v>1647</v>
      </c>
    </row>
    <row r="254" spans="1:10" x14ac:dyDescent="0.3">
      <c r="A254">
        <v>253</v>
      </c>
      <c r="B254" t="s">
        <v>208</v>
      </c>
      <c r="C254" t="s">
        <v>30</v>
      </c>
      <c r="D254" t="s">
        <v>15</v>
      </c>
      <c r="E254" t="s">
        <v>22</v>
      </c>
      <c r="F254" t="s">
        <v>12</v>
      </c>
      <c r="G254">
        <v>5</v>
      </c>
      <c r="H254" t="s">
        <v>230</v>
      </c>
      <c r="I254" t="s">
        <v>240</v>
      </c>
      <c r="J254">
        <v>10835</v>
      </c>
    </row>
    <row r="255" spans="1:10" x14ac:dyDescent="0.3">
      <c r="A255">
        <v>254</v>
      </c>
      <c r="B255" t="s">
        <v>81</v>
      </c>
      <c r="C255" t="s">
        <v>14</v>
      </c>
      <c r="D255" t="s">
        <v>15</v>
      </c>
      <c r="E255" t="s">
        <v>28</v>
      </c>
      <c r="F255" t="s">
        <v>16</v>
      </c>
      <c r="G255">
        <v>4</v>
      </c>
      <c r="H255" t="s">
        <v>231</v>
      </c>
      <c r="I255" t="s">
        <v>240</v>
      </c>
      <c r="J255">
        <v>9492</v>
      </c>
    </row>
    <row r="256" spans="1:10" x14ac:dyDescent="0.3">
      <c r="A256">
        <v>255</v>
      </c>
      <c r="B256" t="s">
        <v>97</v>
      </c>
      <c r="C256" t="s">
        <v>9</v>
      </c>
      <c r="D256" t="s">
        <v>10</v>
      </c>
      <c r="E256" t="s">
        <v>22</v>
      </c>
      <c r="F256" t="s">
        <v>12</v>
      </c>
      <c r="G256">
        <v>1</v>
      </c>
      <c r="H256" t="s">
        <v>230</v>
      </c>
      <c r="I256" t="s">
        <v>238</v>
      </c>
      <c r="J256">
        <v>4250</v>
      </c>
    </row>
    <row r="257" spans="1:10" x14ac:dyDescent="0.3">
      <c r="A257">
        <v>256</v>
      </c>
      <c r="B257" t="s">
        <v>209</v>
      </c>
      <c r="C257" t="s">
        <v>30</v>
      </c>
      <c r="D257" t="s">
        <v>15</v>
      </c>
      <c r="E257" t="s">
        <v>28</v>
      </c>
      <c r="F257" t="s">
        <v>16</v>
      </c>
      <c r="G257">
        <v>3</v>
      </c>
      <c r="H257" t="s">
        <v>230</v>
      </c>
      <c r="I257" t="s">
        <v>239</v>
      </c>
      <c r="J257">
        <v>13176</v>
      </c>
    </row>
    <row r="258" spans="1:10" x14ac:dyDescent="0.3">
      <c r="A258">
        <v>257</v>
      </c>
      <c r="B258" t="s">
        <v>119</v>
      </c>
      <c r="C258" t="s">
        <v>21</v>
      </c>
      <c r="D258" t="s">
        <v>10</v>
      </c>
      <c r="E258" t="s">
        <v>31</v>
      </c>
      <c r="F258" t="s">
        <v>16</v>
      </c>
      <c r="G258">
        <v>1</v>
      </c>
      <c r="H258" t="s">
        <v>231</v>
      </c>
      <c r="I258" t="s">
        <v>232</v>
      </c>
      <c r="J258">
        <v>1288</v>
      </c>
    </row>
    <row r="259" spans="1:10" x14ac:dyDescent="0.3">
      <c r="A259">
        <v>258</v>
      </c>
      <c r="B259" t="s">
        <v>210</v>
      </c>
      <c r="C259" t="s">
        <v>21</v>
      </c>
      <c r="D259" t="s">
        <v>10</v>
      </c>
      <c r="E259" t="s">
        <v>28</v>
      </c>
      <c r="F259" t="s">
        <v>16</v>
      </c>
      <c r="G259">
        <v>2</v>
      </c>
      <c r="H259" t="s">
        <v>230</v>
      </c>
      <c r="I259" t="s">
        <v>242</v>
      </c>
      <c r="J259">
        <v>3540</v>
      </c>
    </row>
    <row r="260" spans="1:10" x14ac:dyDescent="0.3">
      <c r="A260">
        <v>259</v>
      </c>
      <c r="B260" t="s">
        <v>102</v>
      </c>
      <c r="C260" t="s">
        <v>21</v>
      </c>
      <c r="D260" t="s">
        <v>10</v>
      </c>
      <c r="E260" t="s">
        <v>28</v>
      </c>
      <c r="F260" t="s">
        <v>16</v>
      </c>
      <c r="G260">
        <v>1</v>
      </c>
      <c r="H260" t="s">
        <v>230</v>
      </c>
      <c r="I260" t="s">
        <v>239</v>
      </c>
      <c r="J260">
        <v>2139</v>
      </c>
    </row>
    <row r="261" spans="1:10" x14ac:dyDescent="0.3">
      <c r="A261">
        <v>260</v>
      </c>
      <c r="B261" t="s">
        <v>155</v>
      </c>
      <c r="C261" t="s">
        <v>9</v>
      </c>
      <c r="D261" t="s">
        <v>10</v>
      </c>
      <c r="E261" t="s">
        <v>22</v>
      </c>
      <c r="F261" t="s">
        <v>12</v>
      </c>
      <c r="G261">
        <v>4</v>
      </c>
      <c r="H261" t="s">
        <v>231</v>
      </c>
      <c r="I261" t="s">
        <v>241</v>
      </c>
      <c r="J261">
        <v>10428</v>
      </c>
    </row>
    <row r="262" spans="1:10" x14ac:dyDescent="0.3">
      <c r="A262">
        <v>261</v>
      </c>
      <c r="B262" t="s">
        <v>211</v>
      </c>
      <c r="C262" t="s">
        <v>21</v>
      </c>
      <c r="D262" t="s">
        <v>10</v>
      </c>
      <c r="E262" t="s">
        <v>22</v>
      </c>
      <c r="F262" t="s">
        <v>16</v>
      </c>
      <c r="G262">
        <v>3</v>
      </c>
      <c r="H262" t="s">
        <v>231</v>
      </c>
      <c r="I262" t="s">
        <v>234</v>
      </c>
      <c r="J262">
        <v>3822</v>
      </c>
    </row>
    <row r="263" spans="1:10" x14ac:dyDescent="0.3">
      <c r="A263">
        <v>262</v>
      </c>
      <c r="B263" t="s">
        <v>212</v>
      </c>
      <c r="C263" t="s">
        <v>21</v>
      </c>
      <c r="D263" t="s">
        <v>10</v>
      </c>
      <c r="E263" t="s">
        <v>22</v>
      </c>
      <c r="F263" t="s">
        <v>12</v>
      </c>
      <c r="G263">
        <v>2</v>
      </c>
      <c r="H263" t="s">
        <v>231</v>
      </c>
      <c r="I263" t="s">
        <v>234</v>
      </c>
      <c r="J263">
        <v>6108</v>
      </c>
    </row>
    <row r="264" spans="1:10" x14ac:dyDescent="0.3">
      <c r="A264">
        <v>263</v>
      </c>
      <c r="B264" t="s">
        <v>202</v>
      </c>
      <c r="C264" t="s">
        <v>14</v>
      </c>
      <c r="D264" t="s">
        <v>15</v>
      </c>
      <c r="E264" t="s">
        <v>22</v>
      </c>
      <c r="F264" t="s">
        <v>16</v>
      </c>
      <c r="G264">
        <v>1</v>
      </c>
      <c r="H264" t="s">
        <v>230</v>
      </c>
      <c r="I264" t="s">
        <v>242</v>
      </c>
      <c r="J264">
        <v>2077</v>
      </c>
    </row>
    <row r="265" spans="1:10" x14ac:dyDescent="0.3">
      <c r="A265">
        <v>264</v>
      </c>
      <c r="B265" t="s">
        <v>74</v>
      </c>
      <c r="C265" t="s">
        <v>9</v>
      </c>
      <c r="D265" t="s">
        <v>10</v>
      </c>
      <c r="E265" t="s">
        <v>31</v>
      </c>
      <c r="F265" t="s">
        <v>16</v>
      </c>
      <c r="G265">
        <v>4</v>
      </c>
      <c r="H265" t="s">
        <v>230</v>
      </c>
      <c r="I265" t="s">
        <v>233</v>
      </c>
      <c r="J265">
        <v>14588</v>
      </c>
    </row>
    <row r="266" spans="1:10" x14ac:dyDescent="0.3">
      <c r="A266">
        <v>265</v>
      </c>
      <c r="B266" t="s">
        <v>26</v>
      </c>
      <c r="C266" t="s">
        <v>18</v>
      </c>
      <c r="D266" t="s">
        <v>19</v>
      </c>
      <c r="E266" t="s">
        <v>31</v>
      </c>
      <c r="F266" t="s">
        <v>12</v>
      </c>
      <c r="G266">
        <v>5</v>
      </c>
      <c r="H266" t="s">
        <v>230</v>
      </c>
      <c r="I266" t="s">
        <v>237</v>
      </c>
      <c r="J266">
        <v>13755</v>
      </c>
    </row>
    <row r="267" spans="1:10" x14ac:dyDescent="0.3">
      <c r="A267">
        <v>266</v>
      </c>
      <c r="B267" t="s">
        <v>148</v>
      </c>
      <c r="C267" t="s">
        <v>14</v>
      </c>
      <c r="D267" t="s">
        <v>15</v>
      </c>
      <c r="E267" t="s">
        <v>31</v>
      </c>
      <c r="F267" t="s">
        <v>12</v>
      </c>
      <c r="G267">
        <v>5</v>
      </c>
      <c r="H267" t="s">
        <v>230</v>
      </c>
      <c r="I267" t="s">
        <v>237</v>
      </c>
      <c r="J267">
        <v>14335</v>
      </c>
    </row>
    <row r="268" spans="1:10" x14ac:dyDescent="0.3">
      <c r="A268">
        <v>267</v>
      </c>
      <c r="B268" t="s">
        <v>72</v>
      </c>
      <c r="C268" t="s">
        <v>9</v>
      </c>
      <c r="D268" t="s">
        <v>10</v>
      </c>
      <c r="E268" t="s">
        <v>31</v>
      </c>
      <c r="F268" t="s">
        <v>12</v>
      </c>
      <c r="G268">
        <v>5</v>
      </c>
      <c r="H268" t="s">
        <v>230</v>
      </c>
      <c r="I268" t="s">
        <v>232</v>
      </c>
      <c r="J268">
        <v>7280</v>
      </c>
    </row>
    <row r="269" spans="1:10" x14ac:dyDescent="0.3">
      <c r="A269">
        <v>268</v>
      </c>
      <c r="B269" t="s">
        <v>45</v>
      </c>
      <c r="C269" t="s">
        <v>9</v>
      </c>
      <c r="D269" t="s">
        <v>10</v>
      </c>
      <c r="E269" t="s">
        <v>22</v>
      </c>
      <c r="F269" t="s">
        <v>16</v>
      </c>
      <c r="G269">
        <v>2</v>
      </c>
      <c r="H269" t="s">
        <v>230</v>
      </c>
      <c r="I269" t="s">
        <v>242</v>
      </c>
      <c r="J269">
        <v>2876</v>
      </c>
    </row>
    <row r="270" spans="1:10" x14ac:dyDescent="0.3">
      <c r="A270">
        <v>269</v>
      </c>
      <c r="B270" t="s">
        <v>37</v>
      </c>
      <c r="C270" t="s">
        <v>14</v>
      </c>
      <c r="D270" t="s">
        <v>15</v>
      </c>
      <c r="E270" t="s">
        <v>11</v>
      </c>
      <c r="F270" t="s">
        <v>12</v>
      </c>
      <c r="G270">
        <v>2</v>
      </c>
      <c r="H270" t="s">
        <v>231</v>
      </c>
      <c r="I270" t="s">
        <v>241</v>
      </c>
      <c r="J270">
        <v>5214</v>
      </c>
    </row>
    <row r="271" spans="1:10" x14ac:dyDescent="0.3">
      <c r="A271">
        <v>270</v>
      </c>
      <c r="B271" t="s">
        <v>213</v>
      </c>
      <c r="C271" t="s">
        <v>39</v>
      </c>
      <c r="D271" t="s">
        <v>19</v>
      </c>
      <c r="E271" t="s">
        <v>31</v>
      </c>
      <c r="F271" t="s">
        <v>12</v>
      </c>
      <c r="G271">
        <v>3</v>
      </c>
      <c r="H271" t="s">
        <v>230</v>
      </c>
      <c r="I271" t="s">
        <v>234</v>
      </c>
      <c r="J271">
        <v>14724</v>
      </c>
    </row>
    <row r="272" spans="1:10" x14ac:dyDescent="0.3">
      <c r="A272">
        <v>271</v>
      </c>
      <c r="B272" t="s">
        <v>188</v>
      </c>
      <c r="C272" t="s">
        <v>14</v>
      </c>
      <c r="D272" t="s">
        <v>15</v>
      </c>
      <c r="E272" t="s">
        <v>22</v>
      </c>
      <c r="F272" t="s">
        <v>12</v>
      </c>
      <c r="G272">
        <v>3</v>
      </c>
      <c r="H272" t="s">
        <v>230</v>
      </c>
      <c r="I272" t="s">
        <v>237</v>
      </c>
      <c r="J272">
        <v>13896</v>
      </c>
    </row>
    <row r="273" spans="1:10" x14ac:dyDescent="0.3">
      <c r="A273">
        <v>272</v>
      </c>
      <c r="B273" t="s">
        <v>26</v>
      </c>
      <c r="C273" t="s">
        <v>39</v>
      </c>
      <c r="D273" t="s">
        <v>19</v>
      </c>
      <c r="E273" t="s">
        <v>11</v>
      </c>
      <c r="F273" t="s">
        <v>16</v>
      </c>
      <c r="G273">
        <v>2</v>
      </c>
      <c r="H273" t="s">
        <v>230</v>
      </c>
      <c r="I273" t="s">
        <v>237</v>
      </c>
      <c r="J273">
        <v>1380</v>
      </c>
    </row>
    <row r="274" spans="1:10" x14ac:dyDescent="0.3">
      <c r="A274">
        <v>273</v>
      </c>
      <c r="B274" t="s">
        <v>105</v>
      </c>
      <c r="C274" t="s">
        <v>9</v>
      </c>
      <c r="D274" t="s">
        <v>10</v>
      </c>
      <c r="E274" t="s">
        <v>31</v>
      </c>
      <c r="F274" t="s">
        <v>16</v>
      </c>
      <c r="G274">
        <v>3</v>
      </c>
      <c r="H274" t="s">
        <v>231</v>
      </c>
      <c r="I274" t="s">
        <v>243</v>
      </c>
      <c r="J274">
        <v>3921</v>
      </c>
    </row>
    <row r="275" spans="1:10" x14ac:dyDescent="0.3">
      <c r="A275">
        <v>274</v>
      </c>
      <c r="B275" t="s">
        <v>214</v>
      </c>
      <c r="C275" t="s">
        <v>9</v>
      </c>
      <c r="D275" t="s">
        <v>10</v>
      </c>
      <c r="E275" t="s">
        <v>28</v>
      </c>
      <c r="F275" t="s">
        <v>16</v>
      </c>
      <c r="G275">
        <v>4</v>
      </c>
      <c r="H275" t="s">
        <v>230</v>
      </c>
      <c r="I275" t="s">
        <v>243</v>
      </c>
      <c r="J275">
        <v>18124</v>
      </c>
    </row>
    <row r="276" spans="1:10" x14ac:dyDescent="0.3">
      <c r="A276">
        <v>275</v>
      </c>
      <c r="B276" t="s">
        <v>75</v>
      </c>
      <c r="C276" t="s">
        <v>9</v>
      </c>
      <c r="D276" t="s">
        <v>10</v>
      </c>
      <c r="E276" t="s">
        <v>31</v>
      </c>
      <c r="F276" t="s">
        <v>16</v>
      </c>
      <c r="G276">
        <v>1</v>
      </c>
      <c r="H276" t="s">
        <v>231</v>
      </c>
      <c r="I276" t="s">
        <v>232</v>
      </c>
      <c r="J276">
        <v>1777</v>
      </c>
    </row>
    <row r="277" spans="1:10" x14ac:dyDescent="0.3">
      <c r="A277">
        <v>276</v>
      </c>
      <c r="B277" t="s">
        <v>178</v>
      </c>
      <c r="C277" t="s">
        <v>9</v>
      </c>
      <c r="D277" t="s">
        <v>10</v>
      </c>
      <c r="E277" t="s">
        <v>28</v>
      </c>
      <c r="F277" t="s">
        <v>16</v>
      </c>
      <c r="G277">
        <v>4</v>
      </c>
      <c r="H277" t="s">
        <v>230</v>
      </c>
      <c r="I277" t="s">
        <v>237</v>
      </c>
      <c r="J277">
        <v>19180</v>
      </c>
    </row>
    <row r="278" spans="1:10" x14ac:dyDescent="0.3">
      <c r="A278">
        <v>277</v>
      </c>
      <c r="B278" t="s">
        <v>215</v>
      </c>
      <c r="C278" t="s">
        <v>21</v>
      </c>
      <c r="D278" t="s">
        <v>10</v>
      </c>
      <c r="E278" t="s">
        <v>11</v>
      </c>
      <c r="F278" t="s">
        <v>16</v>
      </c>
      <c r="G278">
        <v>5</v>
      </c>
      <c r="H278" t="s">
        <v>230</v>
      </c>
      <c r="I278" t="s">
        <v>235</v>
      </c>
      <c r="J278">
        <v>17315</v>
      </c>
    </row>
    <row r="279" spans="1:10" x14ac:dyDescent="0.3">
      <c r="A279">
        <v>278</v>
      </c>
      <c r="B279" t="s">
        <v>42</v>
      </c>
      <c r="C279" t="s">
        <v>14</v>
      </c>
      <c r="D279" t="s">
        <v>15</v>
      </c>
      <c r="E279" t="s">
        <v>22</v>
      </c>
      <c r="F279" t="s">
        <v>16</v>
      </c>
      <c r="G279">
        <v>5</v>
      </c>
      <c r="H279" t="s">
        <v>230</v>
      </c>
      <c r="I279" t="s">
        <v>240</v>
      </c>
      <c r="J279">
        <v>7330</v>
      </c>
    </row>
    <row r="280" spans="1:10" x14ac:dyDescent="0.3">
      <c r="A280">
        <v>279</v>
      </c>
      <c r="B280" t="s">
        <v>216</v>
      </c>
      <c r="C280" t="s">
        <v>18</v>
      </c>
      <c r="D280" t="s">
        <v>19</v>
      </c>
      <c r="E280" t="s">
        <v>31</v>
      </c>
      <c r="F280" t="s">
        <v>16</v>
      </c>
      <c r="G280">
        <v>2</v>
      </c>
      <c r="H280" t="s">
        <v>230</v>
      </c>
      <c r="I280" t="s">
        <v>239</v>
      </c>
      <c r="J280">
        <v>9384</v>
      </c>
    </row>
    <row r="281" spans="1:10" x14ac:dyDescent="0.3">
      <c r="A281">
        <v>280</v>
      </c>
      <c r="B281" t="s">
        <v>217</v>
      </c>
      <c r="C281" t="s">
        <v>14</v>
      </c>
      <c r="D281" t="s">
        <v>15</v>
      </c>
      <c r="E281" t="s">
        <v>31</v>
      </c>
      <c r="F281" t="s">
        <v>16</v>
      </c>
      <c r="G281">
        <v>4</v>
      </c>
      <c r="H281" t="s">
        <v>230</v>
      </c>
      <c r="I281" t="s">
        <v>233</v>
      </c>
      <c r="J281">
        <v>11888</v>
      </c>
    </row>
    <row r="282" spans="1:10" x14ac:dyDescent="0.3">
      <c r="A282">
        <v>281</v>
      </c>
      <c r="B282" t="s">
        <v>218</v>
      </c>
      <c r="C282" t="s">
        <v>30</v>
      </c>
      <c r="D282" t="s">
        <v>15</v>
      </c>
      <c r="E282" t="s">
        <v>11</v>
      </c>
      <c r="F282" t="s">
        <v>16</v>
      </c>
      <c r="G282">
        <v>5</v>
      </c>
      <c r="H282" t="s">
        <v>230</v>
      </c>
      <c r="I282" t="s">
        <v>242</v>
      </c>
      <c r="J282">
        <v>9990</v>
      </c>
    </row>
    <row r="283" spans="1:10" x14ac:dyDescent="0.3">
      <c r="A283">
        <v>282</v>
      </c>
      <c r="B283" t="s">
        <v>50</v>
      </c>
      <c r="C283" t="s">
        <v>30</v>
      </c>
      <c r="D283" t="s">
        <v>15</v>
      </c>
      <c r="E283" t="s">
        <v>28</v>
      </c>
      <c r="F283" t="s">
        <v>12</v>
      </c>
      <c r="G283">
        <v>4</v>
      </c>
      <c r="H283" t="s">
        <v>231</v>
      </c>
      <c r="I283" t="s">
        <v>235</v>
      </c>
      <c r="J283">
        <v>8416</v>
      </c>
    </row>
    <row r="284" spans="1:10" x14ac:dyDescent="0.3">
      <c r="A284">
        <v>283</v>
      </c>
      <c r="B284" t="s">
        <v>13</v>
      </c>
      <c r="C284" t="s">
        <v>30</v>
      </c>
      <c r="D284" t="s">
        <v>15</v>
      </c>
      <c r="E284" t="s">
        <v>31</v>
      </c>
      <c r="F284" t="s">
        <v>16</v>
      </c>
      <c r="G284">
        <v>2</v>
      </c>
      <c r="H284" t="s">
        <v>230</v>
      </c>
      <c r="I284" t="s">
        <v>233</v>
      </c>
      <c r="J284">
        <v>8068</v>
      </c>
    </row>
    <row r="285" spans="1:10" x14ac:dyDescent="0.3">
      <c r="A285">
        <v>284</v>
      </c>
      <c r="B285" t="s">
        <v>92</v>
      </c>
      <c r="C285" t="s">
        <v>24</v>
      </c>
      <c r="D285" t="s">
        <v>10</v>
      </c>
      <c r="E285" t="s">
        <v>22</v>
      </c>
      <c r="F285" t="s">
        <v>16</v>
      </c>
      <c r="G285">
        <v>5</v>
      </c>
      <c r="H285" t="s">
        <v>230</v>
      </c>
      <c r="I285" t="s">
        <v>238</v>
      </c>
      <c r="J285">
        <v>16565</v>
      </c>
    </row>
    <row r="286" spans="1:10" x14ac:dyDescent="0.3">
      <c r="A286">
        <v>285</v>
      </c>
      <c r="B286" t="s">
        <v>203</v>
      </c>
      <c r="C286" t="s">
        <v>9</v>
      </c>
      <c r="D286" t="s">
        <v>10</v>
      </c>
      <c r="E286" t="s">
        <v>22</v>
      </c>
      <c r="F286" t="s">
        <v>12</v>
      </c>
      <c r="G286">
        <v>5</v>
      </c>
      <c r="H286" t="s">
        <v>230</v>
      </c>
      <c r="I286" t="s">
        <v>235</v>
      </c>
      <c r="J286">
        <v>18220</v>
      </c>
    </row>
    <row r="287" spans="1:10" x14ac:dyDescent="0.3">
      <c r="A287">
        <v>286</v>
      </c>
      <c r="B287" t="s">
        <v>219</v>
      </c>
      <c r="C287" t="s">
        <v>14</v>
      </c>
      <c r="D287" t="s">
        <v>15</v>
      </c>
      <c r="E287" t="s">
        <v>11</v>
      </c>
      <c r="F287" t="s">
        <v>12</v>
      </c>
      <c r="G287">
        <v>5</v>
      </c>
      <c r="H287" t="s">
        <v>230</v>
      </c>
      <c r="I287" t="s">
        <v>235</v>
      </c>
      <c r="J287">
        <v>9100</v>
      </c>
    </row>
    <row r="288" spans="1:10" x14ac:dyDescent="0.3">
      <c r="A288">
        <v>287</v>
      </c>
      <c r="B288" t="s">
        <v>220</v>
      </c>
      <c r="C288" t="s">
        <v>18</v>
      </c>
      <c r="D288" t="s">
        <v>19</v>
      </c>
      <c r="E288" t="s">
        <v>28</v>
      </c>
      <c r="F288" t="s">
        <v>12</v>
      </c>
      <c r="G288">
        <v>4</v>
      </c>
      <c r="H288" t="s">
        <v>230</v>
      </c>
      <c r="I288" t="s">
        <v>240</v>
      </c>
      <c r="J288">
        <v>16996</v>
      </c>
    </row>
    <row r="289" spans="1:10" x14ac:dyDescent="0.3">
      <c r="A289">
        <v>288</v>
      </c>
      <c r="B289" t="s">
        <v>103</v>
      </c>
      <c r="C289" t="s">
        <v>18</v>
      </c>
      <c r="D289" t="s">
        <v>19</v>
      </c>
      <c r="E289" t="s">
        <v>31</v>
      </c>
      <c r="F289" t="s">
        <v>12</v>
      </c>
      <c r="G289">
        <v>1</v>
      </c>
      <c r="H289" t="s">
        <v>231</v>
      </c>
      <c r="I289" t="s">
        <v>234</v>
      </c>
      <c r="J289">
        <v>3541</v>
      </c>
    </row>
    <row r="290" spans="1:10" x14ac:dyDescent="0.3">
      <c r="A290">
        <v>289</v>
      </c>
      <c r="B290" t="s">
        <v>74</v>
      </c>
      <c r="C290" t="s">
        <v>14</v>
      </c>
      <c r="D290" t="s">
        <v>15</v>
      </c>
      <c r="E290" t="s">
        <v>11</v>
      </c>
      <c r="F290" t="s">
        <v>16</v>
      </c>
      <c r="G290">
        <v>3</v>
      </c>
      <c r="H290" t="s">
        <v>230</v>
      </c>
      <c r="I290" t="s">
        <v>233</v>
      </c>
      <c r="J290">
        <v>13224</v>
      </c>
    </row>
    <row r="291" spans="1:10" x14ac:dyDescent="0.3">
      <c r="A291">
        <v>290</v>
      </c>
      <c r="B291" t="s">
        <v>67</v>
      </c>
      <c r="C291" t="s">
        <v>14</v>
      </c>
      <c r="D291" t="s">
        <v>15</v>
      </c>
      <c r="E291" t="s">
        <v>11</v>
      </c>
      <c r="F291" t="s">
        <v>12</v>
      </c>
      <c r="G291">
        <v>2</v>
      </c>
      <c r="H291" t="s">
        <v>230</v>
      </c>
      <c r="I291" t="s">
        <v>239</v>
      </c>
      <c r="J291">
        <v>6704</v>
      </c>
    </row>
    <row r="292" spans="1:10" x14ac:dyDescent="0.3">
      <c r="A292">
        <v>291</v>
      </c>
      <c r="B292" t="s">
        <v>221</v>
      </c>
      <c r="C292" t="s">
        <v>30</v>
      </c>
      <c r="D292" t="s">
        <v>15</v>
      </c>
      <c r="E292" t="s">
        <v>22</v>
      </c>
      <c r="F292" t="s">
        <v>16</v>
      </c>
      <c r="G292">
        <v>1</v>
      </c>
      <c r="H292" t="s">
        <v>230</v>
      </c>
      <c r="I292" t="s">
        <v>240</v>
      </c>
      <c r="J292">
        <v>3410</v>
      </c>
    </row>
    <row r="293" spans="1:10" x14ac:dyDescent="0.3">
      <c r="A293">
        <v>292</v>
      </c>
      <c r="B293" t="s">
        <v>222</v>
      </c>
      <c r="C293" t="s">
        <v>9</v>
      </c>
      <c r="D293" t="s">
        <v>10</v>
      </c>
      <c r="E293" t="s">
        <v>28</v>
      </c>
      <c r="F293" t="s">
        <v>16</v>
      </c>
      <c r="G293">
        <v>4</v>
      </c>
      <c r="H293" t="s">
        <v>230</v>
      </c>
      <c r="I293" t="s">
        <v>232</v>
      </c>
      <c r="J293">
        <v>6932</v>
      </c>
    </row>
    <row r="294" spans="1:10" x14ac:dyDescent="0.3">
      <c r="A294">
        <v>293</v>
      </c>
      <c r="B294" t="s">
        <v>223</v>
      </c>
      <c r="C294" t="s">
        <v>21</v>
      </c>
      <c r="D294" t="s">
        <v>10</v>
      </c>
      <c r="E294" t="s">
        <v>28</v>
      </c>
      <c r="F294" t="s">
        <v>12</v>
      </c>
      <c r="G294">
        <v>1</v>
      </c>
      <c r="H294" t="s">
        <v>230</v>
      </c>
      <c r="I294" t="s">
        <v>242</v>
      </c>
      <c r="J294">
        <v>2311</v>
      </c>
    </row>
    <row r="295" spans="1:10" x14ac:dyDescent="0.3">
      <c r="A295">
        <v>294</v>
      </c>
      <c r="B295" t="s">
        <v>181</v>
      </c>
      <c r="C295" t="s">
        <v>24</v>
      </c>
      <c r="D295" t="s">
        <v>10</v>
      </c>
      <c r="E295" t="s">
        <v>22</v>
      </c>
      <c r="F295" t="s">
        <v>12</v>
      </c>
      <c r="G295">
        <v>2</v>
      </c>
      <c r="H295" t="s">
        <v>231</v>
      </c>
      <c r="I295" t="s">
        <v>238</v>
      </c>
      <c r="J295">
        <v>1204</v>
      </c>
    </row>
    <row r="296" spans="1:10" x14ac:dyDescent="0.3">
      <c r="A296">
        <v>295</v>
      </c>
      <c r="B296" t="s">
        <v>208</v>
      </c>
      <c r="C296" t="s">
        <v>9</v>
      </c>
      <c r="D296" t="s">
        <v>10</v>
      </c>
      <c r="E296" t="s">
        <v>28</v>
      </c>
      <c r="F296" t="s">
        <v>12</v>
      </c>
      <c r="G296">
        <v>4</v>
      </c>
      <c r="H296" t="s">
        <v>230</v>
      </c>
      <c r="I296" t="s">
        <v>240</v>
      </c>
      <c r="J296">
        <v>17424</v>
      </c>
    </row>
    <row r="297" spans="1:10" x14ac:dyDescent="0.3">
      <c r="A297">
        <v>296</v>
      </c>
      <c r="B297" t="s">
        <v>76</v>
      </c>
      <c r="C297" t="s">
        <v>24</v>
      </c>
      <c r="D297" t="s">
        <v>10</v>
      </c>
      <c r="E297" t="s">
        <v>28</v>
      </c>
      <c r="F297" t="s">
        <v>12</v>
      </c>
      <c r="G297">
        <v>3</v>
      </c>
      <c r="H297" t="s">
        <v>230</v>
      </c>
      <c r="I297" t="s">
        <v>241</v>
      </c>
      <c r="J297">
        <v>11481</v>
      </c>
    </row>
    <row r="298" spans="1:10" x14ac:dyDescent="0.3">
      <c r="A298">
        <v>297</v>
      </c>
      <c r="B298" t="s">
        <v>96</v>
      </c>
      <c r="C298" t="s">
        <v>14</v>
      </c>
      <c r="D298" t="s">
        <v>15</v>
      </c>
      <c r="E298" t="s">
        <v>22</v>
      </c>
      <c r="F298" t="s">
        <v>16</v>
      </c>
      <c r="G298">
        <v>1</v>
      </c>
      <c r="H298" t="s">
        <v>230</v>
      </c>
      <c r="I298" t="s">
        <v>237</v>
      </c>
      <c r="J298">
        <v>3471</v>
      </c>
    </row>
    <row r="299" spans="1:10" x14ac:dyDescent="0.3">
      <c r="A299">
        <v>298</v>
      </c>
      <c r="B299" t="s">
        <v>224</v>
      </c>
      <c r="C299" t="s">
        <v>24</v>
      </c>
      <c r="D299" t="s">
        <v>10</v>
      </c>
      <c r="E299" t="s">
        <v>31</v>
      </c>
      <c r="F299" t="s">
        <v>12</v>
      </c>
      <c r="G299">
        <v>3</v>
      </c>
      <c r="H299" t="s">
        <v>230</v>
      </c>
      <c r="I299" t="s">
        <v>240</v>
      </c>
      <c r="J299">
        <v>2262</v>
      </c>
    </row>
    <row r="300" spans="1:10" x14ac:dyDescent="0.3">
      <c r="A300">
        <v>299</v>
      </c>
      <c r="B300" t="s">
        <v>103</v>
      </c>
      <c r="C300" t="s">
        <v>30</v>
      </c>
      <c r="D300" t="s">
        <v>15</v>
      </c>
      <c r="E300" t="s">
        <v>11</v>
      </c>
      <c r="F300" t="s">
        <v>16</v>
      </c>
      <c r="G300">
        <v>1</v>
      </c>
      <c r="H300" t="s">
        <v>231</v>
      </c>
      <c r="I300" t="s">
        <v>234</v>
      </c>
      <c r="J300">
        <v>2225</v>
      </c>
    </row>
    <row r="301" spans="1:10" x14ac:dyDescent="0.3">
      <c r="A301">
        <v>300</v>
      </c>
      <c r="B301" t="s">
        <v>225</v>
      </c>
      <c r="C301" t="s">
        <v>9</v>
      </c>
      <c r="D301" t="s">
        <v>10</v>
      </c>
      <c r="E301" t="s">
        <v>31</v>
      </c>
      <c r="F301" t="s">
        <v>12</v>
      </c>
      <c r="G301">
        <v>4</v>
      </c>
      <c r="H301" t="s">
        <v>230</v>
      </c>
      <c r="I301" t="s">
        <v>243</v>
      </c>
      <c r="J301">
        <v>8820</v>
      </c>
    </row>
  </sheetData>
  <pageMargins left="0.75" right="0.75" top="1" bottom="1" header="0.5" footer="0.5"/>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A1399-AB02-4A96-94BD-14755038126F}">
  <dimension ref="A1:B4"/>
  <sheetViews>
    <sheetView zoomScaleNormal="100" workbookViewId="0">
      <selection sqref="A1:B4"/>
    </sheetView>
  </sheetViews>
  <sheetFormatPr defaultRowHeight="14.4" x14ac:dyDescent="0.3"/>
  <cols>
    <col min="1" max="1" width="11.109375" bestFit="1" customWidth="1"/>
    <col min="2" max="2" width="11.5546875" bestFit="1" customWidth="1"/>
    <col min="3" max="3" width="11.88671875" bestFit="1" customWidth="1"/>
    <col min="4" max="4" width="13.33203125" bestFit="1" customWidth="1"/>
    <col min="9" max="10" width="11.88671875" bestFit="1" customWidth="1"/>
  </cols>
  <sheetData>
    <row r="1" spans="1:2" x14ac:dyDescent="0.3">
      <c r="A1" s="2" t="s">
        <v>250</v>
      </c>
      <c r="B1" t="s">
        <v>245</v>
      </c>
    </row>
    <row r="2" spans="1:2" x14ac:dyDescent="0.3">
      <c r="A2" s="3" t="s">
        <v>16</v>
      </c>
      <c r="B2" s="4">
        <v>0.46126040162460791</v>
      </c>
    </row>
    <row r="3" spans="1:2" x14ac:dyDescent="0.3">
      <c r="A3" s="3" t="s">
        <v>12</v>
      </c>
      <c r="B3" s="4">
        <v>0.53873959837539209</v>
      </c>
    </row>
    <row r="4" spans="1:2" x14ac:dyDescent="0.3">
      <c r="A4" s="3" t="s">
        <v>246</v>
      </c>
      <c r="B4" s="4">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0DF74-B2BF-45CE-9634-C542D7D5522C}">
  <dimension ref="A1:B9"/>
  <sheetViews>
    <sheetView workbookViewId="0">
      <selection sqref="A1:B9"/>
    </sheetView>
  </sheetViews>
  <sheetFormatPr defaultRowHeight="14.4" x14ac:dyDescent="0.3"/>
  <sheetData>
    <row r="1" spans="1:2" x14ac:dyDescent="0.3">
      <c r="A1" s="2" t="s">
        <v>2</v>
      </c>
      <c r="B1" t="s">
        <v>245</v>
      </c>
    </row>
    <row r="2" spans="1:2" x14ac:dyDescent="0.3">
      <c r="A2" s="3" t="s">
        <v>14</v>
      </c>
      <c r="B2">
        <v>427748</v>
      </c>
    </row>
    <row r="3" spans="1:2" x14ac:dyDescent="0.3">
      <c r="A3" s="3" t="s">
        <v>21</v>
      </c>
      <c r="B3">
        <v>401902</v>
      </c>
    </row>
    <row r="4" spans="1:2" x14ac:dyDescent="0.3">
      <c r="A4" s="3" t="s">
        <v>9</v>
      </c>
      <c r="B4">
        <v>464486</v>
      </c>
    </row>
    <row r="5" spans="1:2" x14ac:dyDescent="0.3">
      <c r="A5" s="3" t="s">
        <v>24</v>
      </c>
      <c r="B5">
        <v>380648</v>
      </c>
    </row>
    <row r="6" spans="1:2" x14ac:dyDescent="0.3">
      <c r="A6" s="3" t="s">
        <v>39</v>
      </c>
      <c r="B6">
        <v>228684</v>
      </c>
    </row>
    <row r="7" spans="1:2" x14ac:dyDescent="0.3">
      <c r="A7" s="3" t="s">
        <v>18</v>
      </c>
      <c r="B7">
        <v>391626</v>
      </c>
    </row>
    <row r="8" spans="1:2" x14ac:dyDescent="0.3">
      <c r="A8" s="3" t="s">
        <v>30</v>
      </c>
      <c r="B8">
        <v>373119</v>
      </c>
    </row>
    <row r="9" spans="1:2" x14ac:dyDescent="0.3">
      <c r="A9" s="3" t="s">
        <v>246</v>
      </c>
      <c r="B9">
        <v>2668213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BE5FB-BD77-401A-8059-E19A6B851871}">
  <dimension ref="A1:B14"/>
  <sheetViews>
    <sheetView workbookViewId="0">
      <selection sqref="A1:B14"/>
    </sheetView>
  </sheetViews>
  <sheetFormatPr defaultRowHeight="14.4" x14ac:dyDescent="0.3"/>
  <sheetData>
    <row r="1" spans="1:2" x14ac:dyDescent="0.3">
      <c r="A1" s="2" t="s">
        <v>226</v>
      </c>
      <c r="B1" t="s">
        <v>245</v>
      </c>
    </row>
    <row r="2" spans="1:2" x14ac:dyDescent="0.3">
      <c r="A2" s="3" t="s">
        <v>243</v>
      </c>
      <c r="B2" s="4">
        <v>8.6451493939951565E-2</v>
      </c>
    </row>
    <row r="3" spans="1:2" x14ac:dyDescent="0.3">
      <c r="A3" s="3" t="s">
        <v>234</v>
      </c>
      <c r="B3" s="4">
        <v>6.2266768057872443E-2</v>
      </c>
    </row>
    <row r="4" spans="1:2" x14ac:dyDescent="0.3">
      <c r="A4" s="3" t="s">
        <v>235</v>
      </c>
      <c r="B4" s="4">
        <v>6.408521358677137E-2</v>
      </c>
    </row>
    <row r="5" spans="1:2" x14ac:dyDescent="0.3">
      <c r="A5" s="3" t="s">
        <v>232</v>
      </c>
      <c r="B5" s="4">
        <v>6.2945124695817006E-2</v>
      </c>
    </row>
    <row r="6" spans="1:2" x14ac:dyDescent="0.3">
      <c r="A6" s="3" t="s">
        <v>238</v>
      </c>
      <c r="B6" s="4">
        <v>7.6263401759904481E-2</v>
      </c>
    </row>
    <row r="7" spans="1:2" x14ac:dyDescent="0.3">
      <c r="A7" s="3" t="s">
        <v>239</v>
      </c>
      <c r="B7" s="4">
        <v>0.14604381284402707</v>
      </c>
    </row>
    <row r="8" spans="1:2" x14ac:dyDescent="0.3">
      <c r="A8" s="3" t="s">
        <v>240</v>
      </c>
      <c r="B8" s="4">
        <v>8.8630480400177944E-2</v>
      </c>
    </row>
    <row r="9" spans="1:2" x14ac:dyDescent="0.3">
      <c r="A9" s="3" t="s">
        <v>241</v>
      </c>
      <c r="B9" s="4">
        <v>7.6455665271100925E-2</v>
      </c>
    </row>
    <row r="10" spans="1:2" x14ac:dyDescent="0.3">
      <c r="A10" s="3" t="s">
        <v>236</v>
      </c>
      <c r="B10" s="4">
        <v>8.3363284715275723E-2</v>
      </c>
    </row>
    <row r="11" spans="1:2" x14ac:dyDescent="0.3">
      <c r="A11" s="3" t="s">
        <v>237</v>
      </c>
      <c r="B11" s="4">
        <v>0.10638281126731637</v>
      </c>
    </row>
    <row r="12" spans="1:2" x14ac:dyDescent="0.3">
      <c r="A12" s="3" t="s">
        <v>242</v>
      </c>
      <c r="B12" s="4">
        <v>7.0646908623861734E-2</v>
      </c>
    </row>
    <row r="13" spans="1:2" x14ac:dyDescent="0.3">
      <c r="A13" s="3" t="s">
        <v>233</v>
      </c>
      <c r="B13" s="4">
        <v>7.6465034837923357E-2</v>
      </c>
    </row>
    <row r="14" spans="1:2" x14ac:dyDescent="0.3">
      <c r="A14" s="3" t="s">
        <v>246</v>
      </c>
      <c r="B14" s="4">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F8343-6D69-4A10-9E36-F239F8B96219}">
  <dimension ref="A1:B6"/>
  <sheetViews>
    <sheetView workbookViewId="0">
      <selection sqref="A1:B6"/>
    </sheetView>
  </sheetViews>
  <sheetFormatPr defaultRowHeight="14.4" x14ac:dyDescent="0.3"/>
  <sheetData>
    <row r="1" spans="1:2" x14ac:dyDescent="0.3">
      <c r="A1" s="2" t="s">
        <v>4</v>
      </c>
      <c r="B1" t="s">
        <v>245</v>
      </c>
    </row>
    <row r="2" spans="1:2" x14ac:dyDescent="0.3">
      <c r="A2" s="3" t="s">
        <v>28</v>
      </c>
      <c r="B2">
        <v>656435</v>
      </c>
    </row>
    <row r="3" spans="1:2" x14ac:dyDescent="0.3">
      <c r="A3" s="3" t="s">
        <v>11</v>
      </c>
      <c r="B3">
        <v>767236</v>
      </c>
    </row>
    <row r="4" spans="1:2" x14ac:dyDescent="0.3">
      <c r="A4" s="3" t="s">
        <v>31</v>
      </c>
      <c r="B4">
        <v>548327</v>
      </c>
    </row>
    <row r="5" spans="1:2" x14ac:dyDescent="0.3">
      <c r="A5" s="3" t="s">
        <v>22</v>
      </c>
      <c r="B5">
        <v>696215</v>
      </c>
    </row>
    <row r="6" spans="1:2" x14ac:dyDescent="0.3">
      <c r="A6" s="3" t="s">
        <v>246</v>
      </c>
      <c r="B6">
        <v>2668213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2675E-C1B4-40FE-B477-37CD8474F30E}">
  <dimension ref="A1:B7"/>
  <sheetViews>
    <sheetView tabSelected="1" zoomScaleNormal="100" workbookViewId="0"/>
  </sheetViews>
  <sheetFormatPr defaultRowHeight="14.4" x14ac:dyDescent="0.3"/>
  <sheetData>
    <row r="1" spans="1:2" x14ac:dyDescent="0.3">
      <c r="A1" s="2" t="s">
        <v>249</v>
      </c>
      <c r="B1" t="s">
        <v>245</v>
      </c>
    </row>
    <row r="2" spans="1:2" x14ac:dyDescent="0.3">
      <c r="A2" s="3">
        <v>1</v>
      </c>
      <c r="B2">
        <v>174674</v>
      </c>
    </row>
    <row r="3" spans="1:2" x14ac:dyDescent="0.3">
      <c r="A3" s="3">
        <v>2</v>
      </c>
      <c r="B3">
        <v>321210</v>
      </c>
    </row>
    <row r="4" spans="1:2" x14ac:dyDescent="0.3">
      <c r="A4" s="3">
        <v>3</v>
      </c>
      <c r="B4">
        <v>485850</v>
      </c>
    </row>
    <row r="5" spans="1:2" x14ac:dyDescent="0.3">
      <c r="A5" s="3">
        <v>4</v>
      </c>
      <c r="B5">
        <v>665564</v>
      </c>
    </row>
    <row r="6" spans="1:2" x14ac:dyDescent="0.3">
      <c r="A6" s="3">
        <v>5</v>
      </c>
      <c r="B6">
        <v>1020915</v>
      </c>
    </row>
    <row r="7" spans="1:2" x14ac:dyDescent="0.3">
      <c r="A7" s="3" t="s">
        <v>246</v>
      </c>
      <c r="B7">
        <v>2668213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3BF66-515D-4E00-99F2-80009883EFA8}">
  <dimension ref="A1"/>
  <sheetViews>
    <sheetView topLeftCell="D4" zoomScaleNormal="100" workbookViewId="0">
      <selection activeCell="U23" sqref="U23"/>
    </sheetView>
  </sheetViews>
  <sheetFormatPr defaultRowHeight="14.4" x14ac:dyDescent="0.3"/>
  <sheetData>
    <row r="1" spans="1:1" x14ac:dyDescent="0.3">
      <c r="A1"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Gender Chart</vt:lpstr>
      <vt:lpstr>Product Chart</vt:lpstr>
      <vt:lpstr>Month Chart</vt:lpstr>
      <vt:lpstr>Region Chart</vt:lpstr>
      <vt:lpstr>Quantity Chart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prince singh</cp:lastModifiedBy>
  <dcterms:created xsi:type="dcterms:W3CDTF">2026-03-11T08:02:35Z</dcterms:created>
  <dcterms:modified xsi:type="dcterms:W3CDTF">2026-03-12T17:03:33Z</dcterms:modified>
</cp:coreProperties>
</file>